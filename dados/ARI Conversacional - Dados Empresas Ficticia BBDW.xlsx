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/>
  <mc:AlternateContent xmlns:mc="http://schemas.openxmlformats.org/markup-compatibility/2006">
    <mc:Choice Requires="x15">
      <x15ac:absPath xmlns:x15ac="http://schemas.microsoft.com/office/spreadsheetml/2010/11/ac" url="https://banco365-my.sharepoint.com/personal/gustavosantos_bb_com_br/Documents/Painel PJ/Painel PJ - ARI/"/>
    </mc:Choice>
  </mc:AlternateContent>
  <xr:revisionPtr revIDLastSave="0" documentId="8_{FF7A7C6D-EF68-441A-AA07-E01F4EE14B1F}" xr6:coauthVersionLast="47" xr6:coauthVersionMax="47" xr10:uidLastSave="{00000000-0000-0000-0000-000000000000}"/>
  <bookViews>
    <workbookView xWindow="28680" yWindow="-120" windowWidth="29040" windowHeight="15720" firstSheet="3" activeTab="3" xr2:uid="{D87A4CAD-55B4-464C-993E-D3B353678DC6}"/>
  </bookViews>
  <sheets>
    <sheet name="Empresa 1 - Serviços" sheetId="2" r:id="rId1"/>
    <sheet name="Empresa 2 - Comércio" sheetId="3" r:id="rId2"/>
    <sheet name="Empresa 3 - Indústria" sheetId="4" r:id="rId3"/>
    <sheet name="Perfil das Empresas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I4" i="1"/>
  <c r="G4" i="1"/>
  <c r="F4" i="1"/>
  <c r="H4" i="1" s="1"/>
  <c r="D4" i="1"/>
  <c r="C4" i="1"/>
  <c r="E4" i="1" s="1"/>
  <c r="J3" i="1"/>
  <c r="I3" i="1"/>
  <c r="G3" i="1"/>
  <c r="F3" i="1"/>
  <c r="D3" i="1"/>
  <c r="C3" i="1"/>
  <c r="E3" i="1"/>
  <c r="K4" i="1"/>
  <c r="K3" i="1"/>
  <c r="H3" i="1"/>
  <c r="J2" i="1"/>
  <c r="I2" i="1"/>
  <c r="G2" i="1"/>
  <c r="F2" i="1"/>
  <c r="H2" i="1" s="1"/>
  <c r="C2" i="1"/>
  <c r="D2" i="1"/>
  <c r="K2" i="1" l="1"/>
  <c r="E2" i="1"/>
</calcChain>
</file>

<file path=xl/sharedStrings.xml><?xml version="1.0" encoding="utf-8"?>
<sst xmlns="http://schemas.openxmlformats.org/spreadsheetml/2006/main" count="57" uniqueCount="27">
  <si>
    <t>Ano</t>
  </si>
  <si>
    <t>Receita Total</t>
  </si>
  <si>
    <t>Receita via Cartão de Crédito</t>
  </si>
  <si>
    <t>Receita via Boletos</t>
  </si>
  <si>
    <t>Receita via Pix</t>
  </si>
  <si>
    <t>Receita via Transferências</t>
  </si>
  <si>
    <t>Despesas com Empregados</t>
  </si>
  <si>
    <t>Despesas com Aluguel</t>
  </si>
  <si>
    <t>Despesas com Energia</t>
  </si>
  <si>
    <t>Despesas com Água</t>
  </si>
  <si>
    <t>Despesas com Fornecedores</t>
  </si>
  <si>
    <t>Despesas Operacionais</t>
  </si>
  <si>
    <t>Total de Despesas</t>
  </si>
  <si>
    <t>Saldo do Mês</t>
  </si>
  <si>
    <t>Saldo Acumulado</t>
  </si>
  <si>
    <t>Receita_Ano_1</t>
  </si>
  <si>
    <t>Despesa_Ano_1</t>
  </si>
  <si>
    <t>Resultado_Ano1</t>
  </si>
  <si>
    <t>Receita_Ano_2</t>
  </si>
  <si>
    <t>Despesa_Ano_2</t>
  </si>
  <si>
    <t>Resultado_Ano2</t>
  </si>
  <si>
    <t>Receita_Ano_3</t>
  </si>
  <si>
    <t>Despesa_Ano_3</t>
  </si>
  <si>
    <t>Resultado_Ano3</t>
  </si>
  <si>
    <t>Empresa 1 - Serviços: Situação financeira favorável e em crescimento.</t>
  </si>
  <si>
    <t>Empresa 2 - Comércio: Situação relativamente estável, com sinais de quebra de fluxo de caixa.</t>
  </si>
  <si>
    <t>Empresa 3 - Indústria: Situação financeira deficitária, exigindo ajustes na gestão.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</si>
</sst>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B6DB-1450-496E-B17D-6E186E2323D0}">
  <dimension ref="A1:O37"/>
  <sheetViews>
    <sheetView workbookViewId="0">
      <selection activeCell="B11" sqref="B11"/>
    </sheetView>
  </sheetViews>
  <sheetFormatPr defaultRowHeight="14.45"/>
  <cols>
    <col min="1" max="1" width="13.5703125" customWidth="1"/>
    <col min="2" max="2" width="12.28515625" bestFit="1" customWidth="1"/>
    <col min="3" max="3" width="17.85546875" customWidth="1"/>
    <col min="4" max="4" width="14.28515625" customWidth="1"/>
    <col min="5" max="5" width="12.5703125" customWidth="1"/>
    <col min="6" max="6" width="16.7109375" customWidth="1"/>
    <col min="7" max="7" width="15.140625" customWidth="1"/>
    <col min="8" max="8" width="12.42578125" customWidth="1"/>
    <col min="9" max="9" width="12.28515625" customWidth="1"/>
    <col min="10" max="10" width="10.28515625" customWidth="1"/>
    <col min="11" max="11" width="15.28515625" customWidth="1"/>
    <col min="12" max="12" width="15.7109375" customWidth="1"/>
    <col min="13" max="13" width="13.7109375" customWidth="1"/>
    <col min="14" max="14" width="12.42578125" bestFit="1" customWidth="1"/>
    <col min="15" max="15" width="16.140625" bestFit="1" customWidth="1"/>
  </cols>
  <sheetData>
    <row r="1" spans="1:15" ht="28.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3">
        <v>44197</v>
      </c>
      <c r="B2" s="1">
        <v>218904.87839842349</v>
      </c>
      <c r="C2" s="1">
        <v>32835.731759763526</v>
      </c>
      <c r="D2" s="1">
        <v>120397.6831191329</v>
      </c>
      <c r="E2" s="1">
        <v>65671.463519527053</v>
      </c>
      <c r="F2" s="1">
        <v>21890.48783984235</v>
      </c>
      <c r="G2" s="2">
        <v>90000</v>
      </c>
      <c r="H2" s="2">
        <v>5000</v>
      </c>
      <c r="I2" s="2">
        <v>1500</v>
      </c>
      <c r="J2" s="2">
        <v>500</v>
      </c>
      <c r="K2" s="1">
        <v>65671.463519527053</v>
      </c>
      <c r="L2" s="1">
        <v>32835.731759763526</v>
      </c>
      <c r="M2" s="1">
        <v>195507.19527929061</v>
      </c>
      <c r="N2" s="1">
        <v>23397.68311913294</v>
      </c>
      <c r="O2" s="1">
        <v>23397.68311913294</v>
      </c>
    </row>
    <row r="3" spans="1:15">
      <c r="A3" s="3">
        <v>44228</v>
      </c>
      <c r="B3" s="1">
        <v>209147.9752469509</v>
      </c>
      <c r="C3" s="1">
        <v>31372.19628704264</v>
      </c>
      <c r="D3" s="1">
        <v>115031.386385823</v>
      </c>
      <c r="E3" s="1">
        <v>62744.392574085272</v>
      </c>
      <c r="F3" s="1">
        <v>20914.797524695099</v>
      </c>
      <c r="G3" s="2">
        <v>90000</v>
      </c>
      <c r="H3" s="2">
        <v>5000</v>
      </c>
      <c r="I3" s="2">
        <v>1500</v>
      </c>
      <c r="J3" s="2">
        <v>500</v>
      </c>
      <c r="K3" s="1">
        <v>62744.392574085272</v>
      </c>
      <c r="L3" s="1">
        <v>31372.19628704264</v>
      </c>
      <c r="M3" s="1">
        <v>191116.58886112791</v>
      </c>
      <c r="N3" s="1">
        <v>18031.386385823022</v>
      </c>
      <c r="O3" s="1">
        <v>41429.069504955958</v>
      </c>
    </row>
    <row r="4" spans="1:15">
      <c r="A4" s="3">
        <v>44256</v>
      </c>
      <c r="B4" s="1">
        <v>232476.98085912579</v>
      </c>
      <c r="C4" s="1">
        <v>34871.547128868857</v>
      </c>
      <c r="D4" s="1">
        <v>127862.3394725192</v>
      </c>
      <c r="E4" s="1">
        <v>69743.094257737728</v>
      </c>
      <c r="F4" s="1">
        <v>23247.69808591258</v>
      </c>
      <c r="G4" s="2">
        <v>90000</v>
      </c>
      <c r="H4" s="2">
        <v>5000</v>
      </c>
      <c r="I4" s="2">
        <v>1500</v>
      </c>
      <c r="J4" s="2">
        <v>500</v>
      </c>
      <c r="K4" s="1">
        <v>69743.094257737728</v>
      </c>
      <c r="L4" s="1">
        <v>34871.547128868857</v>
      </c>
      <c r="M4" s="1">
        <v>201614.64138660661</v>
      </c>
      <c r="N4" s="1">
        <v>30862.339472519179</v>
      </c>
      <c r="O4" s="1">
        <v>72291.408977475134</v>
      </c>
    </row>
    <row r="5" spans="1:15">
      <c r="A5" s="3">
        <v>44287</v>
      </c>
      <c r="B5" s="1">
        <v>244923.2868023504</v>
      </c>
      <c r="C5" s="1">
        <v>36738.493020352573</v>
      </c>
      <c r="D5" s="1">
        <v>134707.80774129281</v>
      </c>
      <c r="E5" s="1">
        <v>73476.986040705131</v>
      </c>
      <c r="F5" s="1">
        <v>24492.328680235041</v>
      </c>
      <c r="G5" s="2">
        <v>90000</v>
      </c>
      <c r="H5" s="2">
        <v>5000</v>
      </c>
      <c r="I5" s="2">
        <v>1500</v>
      </c>
      <c r="J5" s="2">
        <v>500</v>
      </c>
      <c r="K5" s="1">
        <v>73476.986040705131</v>
      </c>
      <c r="L5" s="1">
        <v>36738.493020352573</v>
      </c>
      <c r="M5" s="1">
        <v>207215.4790610577</v>
      </c>
      <c r="N5" s="1">
        <v>37707.807741292752</v>
      </c>
      <c r="O5" s="1">
        <v>109999.2167187679</v>
      </c>
    </row>
    <row r="6" spans="1:15">
      <c r="A6" s="3">
        <v>44317</v>
      </c>
      <c r="B6" s="1">
        <v>268690.10217132221</v>
      </c>
      <c r="C6" s="1">
        <v>40303.515325698318</v>
      </c>
      <c r="D6" s="1">
        <v>147779.55619422719</v>
      </c>
      <c r="E6" s="1">
        <v>80607.03065139665</v>
      </c>
      <c r="F6" s="1">
        <v>26869.010217132221</v>
      </c>
      <c r="G6" s="2">
        <v>90000</v>
      </c>
      <c r="H6" s="2">
        <v>5000</v>
      </c>
      <c r="I6" s="2">
        <v>1500</v>
      </c>
      <c r="J6" s="2">
        <v>500</v>
      </c>
      <c r="K6" s="1">
        <v>80607.03065139665</v>
      </c>
      <c r="L6" s="1">
        <v>40303.515325698318</v>
      </c>
      <c r="M6" s="1">
        <v>217910.545977095</v>
      </c>
      <c r="N6" s="1">
        <v>50779.55619422716</v>
      </c>
      <c r="O6" s="1">
        <v>160778.77291299499</v>
      </c>
    </row>
    <row r="7" spans="1:15">
      <c r="A7" s="3">
        <v>44348</v>
      </c>
      <c r="B7" s="1">
        <v>292707.09454417782</v>
      </c>
      <c r="C7" s="1">
        <v>43906.064181626673</v>
      </c>
      <c r="D7" s="1">
        <v>160988.90199929781</v>
      </c>
      <c r="E7" s="1">
        <v>87812.12836325333</v>
      </c>
      <c r="F7" s="1">
        <v>29270.709454417782</v>
      </c>
      <c r="G7" s="2">
        <v>90000</v>
      </c>
      <c r="H7" s="2">
        <v>5000</v>
      </c>
      <c r="I7" s="2">
        <v>1500</v>
      </c>
      <c r="J7" s="2">
        <v>500</v>
      </c>
      <c r="K7" s="1">
        <v>87812.12836325333</v>
      </c>
      <c r="L7" s="1">
        <v>43906.064181626673</v>
      </c>
      <c r="M7" s="1">
        <v>228718.19254488</v>
      </c>
      <c r="N7" s="1">
        <v>63988.901999297777</v>
      </c>
      <c r="O7" s="1">
        <v>224767.6749122928</v>
      </c>
    </row>
    <row r="8" spans="1:15">
      <c r="A8" s="3">
        <v>44378</v>
      </c>
      <c r="B8" s="1">
        <v>283012.73564367607</v>
      </c>
      <c r="C8" s="1">
        <v>42451.910346551413</v>
      </c>
      <c r="D8" s="1">
        <v>155657.00460402179</v>
      </c>
      <c r="E8" s="1">
        <v>84903.820693102825</v>
      </c>
      <c r="F8" s="1">
        <v>28301.27356436761</v>
      </c>
      <c r="G8" s="2">
        <v>90000</v>
      </c>
      <c r="H8" s="2">
        <v>5000</v>
      </c>
      <c r="I8" s="2">
        <v>1500</v>
      </c>
      <c r="J8" s="2">
        <v>500</v>
      </c>
      <c r="K8" s="1">
        <v>84903.820693102825</v>
      </c>
      <c r="L8" s="1">
        <v>42451.910346551413</v>
      </c>
      <c r="M8" s="1">
        <v>224355.73103965429</v>
      </c>
      <c r="N8" s="1">
        <v>58657.004604021808</v>
      </c>
      <c r="O8" s="1">
        <v>283424.67951631459</v>
      </c>
    </row>
    <row r="9" spans="1:15">
      <c r="A9" s="3">
        <v>44409</v>
      </c>
      <c r="B9" s="1">
        <v>273193.28824123263</v>
      </c>
      <c r="C9" s="1">
        <v>40978.993236184877</v>
      </c>
      <c r="D9" s="1">
        <v>150256.30853267791</v>
      </c>
      <c r="E9" s="1">
        <v>81957.986472369768</v>
      </c>
      <c r="F9" s="1">
        <v>27319.328824123259</v>
      </c>
      <c r="G9" s="2">
        <v>90000</v>
      </c>
      <c r="H9" s="2">
        <v>5000</v>
      </c>
      <c r="I9" s="2">
        <v>1500</v>
      </c>
      <c r="J9" s="2">
        <v>500</v>
      </c>
      <c r="K9" s="1">
        <v>81957.986472369768</v>
      </c>
      <c r="L9" s="1">
        <v>40978.993236184877</v>
      </c>
      <c r="M9" s="1">
        <v>219936.9797085546</v>
      </c>
      <c r="N9" s="1">
        <v>53256.30853267794</v>
      </c>
      <c r="O9" s="1">
        <v>336680.98804899259</v>
      </c>
    </row>
    <row r="10" spans="1:15">
      <c r="A10" s="3">
        <v>44440</v>
      </c>
      <c r="B10" s="1">
        <v>263248.75233684701</v>
      </c>
      <c r="C10" s="1">
        <v>39487.312850527051</v>
      </c>
      <c r="D10" s="1">
        <v>144786.8137852659</v>
      </c>
      <c r="E10" s="1">
        <v>78974.625701054101</v>
      </c>
      <c r="F10" s="1">
        <v>26324.875233684699</v>
      </c>
      <c r="G10" s="2">
        <v>90000</v>
      </c>
      <c r="H10" s="2">
        <v>5000</v>
      </c>
      <c r="I10" s="2">
        <v>1500</v>
      </c>
      <c r="J10" s="2">
        <v>500</v>
      </c>
      <c r="K10" s="1">
        <v>78974.625701054101</v>
      </c>
      <c r="L10" s="1">
        <v>39487.312850527051</v>
      </c>
      <c r="M10" s="1">
        <v>215461.9385515812</v>
      </c>
      <c r="N10" s="1">
        <v>47786.81378526584</v>
      </c>
      <c r="O10" s="1">
        <v>384467.80183425843</v>
      </c>
    </row>
    <row r="11" spans="1:15">
      <c r="A11" s="3">
        <v>44470</v>
      </c>
      <c r="B11" s="1">
        <v>253179.12793051949</v>
      </c>
      <c r="C11" s="1">
        <v>37976.869189577927</v>
      </c>
      <c r="D11" s="1">
        <v>139248.52036178581</v>
      </c>
      <c r="E11" s="1">
        <v>75953.738379155868</v>
      </c>
      <c r="F11" s="1">
        <v>25317.912793051961</v>
      </c>
      <c r="G11" s="2">
        <v>90000</v>
      </c>
      <c r="H11" s="2">
        <v>5000</v>
      </c>
      <c r="I11" s="2">
        <v>1500</v>
      </c>
      <c r="J11" s="2">
        <v>500</v>
      </c>
      <c r="K11" s="1">
        <v>75953.738379155868</v>
      </c>
      <c r="L11" s="1">
        <v>37976.869189577927</v>
      </c>
      <c r="M11" s="1">
        <v>210930.6075687338</v>
      </c>
      <c r="N11" s="1">
        <v>42248.520361785748</v>
      </c>
      <c r="O11" s="1">
        <v>426716.32219604409</v>
      </c>
    </row>
    <row r="12" spans="1:15">
      <c r="A12" s="3">
        <v>44501</v>
      </c>
      <c r="B12" s="1">
        <v>231413.72859261921</v>
      </c>
      <c r="C12" s="1">
        <v>34712.059288892873</v>
      </c>
      <c r="D12" s="1">
        <v>127277.5507259405</v>
      </c>
      <c r="E12" s="1">
        <v>69424.118577785746</v>
      </c>
      <c r="F12" s="1">
        <v>23141.372859261919</v>
      </c>
      <c r="G12" s="2">
        <v>90000</v>
      </c>
      <c r="H12" s="2">
        <v>5000</v>
      </c>
      <c r="I12" s="2">
        <v>1500</v>
      </c>
      <c r="J12" s="2">
        <v>500</v>
      </c>
      <c r="K12" s="1">
        <v>69424.118577785746</v>
      </c>
      <c r="L12" s="1">
        <v>34712.059288892873</v>
      </c>
      <c r="M12" s="1">
        <v>201136.1778666786</v>
      </c>
      <c r="N12" s="1">
        <v>30277.55072594056</v>
      </c>
      <c r="O12" s="1">
        <v>456993.8729219847</v>
      </c>
    </row>
    <row r="13" spans="1:15">
      <c r="A13" s="3">
        <v>44531</v>
      </c>
      <c r="B13" s="1">
        <v>209398.15225083489</v>
      </c>
      <c r="C13" s="1">
        <v>31409.722837625231</v>
      </c>
      <c r="D13" s="1">
        <v>115168.98373795921</v>
      </c>
      <c r="E13" s="1">
        <v>62819.445675250463</v>
      </c>
      <c r="F13" s="1">
        <v>20939.81522508349</v>
      </c>
      <c r="G13" s="2">
        <v>90000</v>
      </c>
      <c r="H13" s="2">
        <v>5000</v>
      </c>
      <c r="I13" s="2">
        <v>1500</v>
      </c>
      <c r="J13" s="2">
        <v>500</v>
      </c>
      <c r="K13" s="1">
        <v>62819.445675250463</v>
      </c>
      <c r="L13" s="1">
        <v>31409.722837625231</v>
      </c>
      <c r="M13" s="1">
        <v>191229.16851287571</v>
      </c>
      <c r="N13" s="1">
        <v>18168.983737959181</v>
      </c>
      <c r="O13" s="1">
        <v>475162.85665994388</v>
      </c>
    </row>
    <row r="14" spans="1:15">
      <c r="A14" s="3">
        <v>44562</v>
      </c>
      <c r="B14" s="1">
        <v>233915.49863145829</v>
      </c>
      <c r="C14" s="1">
        <v>35087.324794718741</v>
      </c>
      <c r="D14" s="1">
        <v>128653.52424730211</v>
      </c>
      <c r="E14" s="1">
        <v>70174.649589437482</v>
      </c>
      <c r="F14" s="1">
        <v>23391.549863145829</v>
      </c>
      <c r="G14" s="2">
        <v>90000</v>
      </c>
      <c r="H14" s="2">
        <v>5000</v>
      </c>
      <c r="I14" s="2">
        <v>1500</v>
      </c>
      <c r="J14" s="2">
        <v>500</v>
      </c>
      <c r="K14" s="1">
        <v>70174.649589437482</v>
      </c>
      <c r="L14" s="1">
        <v>35087.324794718741</v>
      </c>
      <c r="M14" s="1">
        <v>202261.9743841562</v>
      </c>
      <c r="N14" s="1">
        <v>31653.524247302059</v>
      </c>
      <c r="O14" s="1">
        <v>506816.38090724591</v>
      </c>
    </row>
    <row r="15" spans="1:15">
      <c r="A15" s="3">
        <v>44593</v>
      </c>
      <c r="B15" s="1">
        <v>223408.06446833391</v>
      </c>
      <c r="C15" s="1">
        <v>33511.209670250093</v>
      </c>
      <c r="D15" s="1">
        <v>122874.43545758371</v>
      </c>
      <c r="E15" s="1">
        <v>67022.419340500172</v>
      </c>
      <c r="F15" s="1">
        <v>22340.806446833391</v>
      </c>
      <c r="G15" s="2">
        <v>90000</v>
      </c>
      <c r="H15" s="2">
        <v>5000</v>
      </c>
      <c r="I15" s="2">
        <v>1500</v>
      </c>
      <c r="J15" s="2">
        <v>500</v>
      </c>
      <c r="K15" s="1">
        <v>67022.419340500172</v>
      </c>
      <c r="L15" s="1">
        <v>33511.209670250093</v>
      </c>
      <c r="M15" s="1">
        <v>197533.6290107503</v>
      </c>
      <c r="N15" s="1">
        <v>25874.435457583659</v>
      </c>
      <c r="O15" s="1">
        <v>532690.81636482954</v>
      </c>
    </row>
    <row r="16" spans="1:15">
      <c r="A16" s="3">
        <v>44621</v>
      </c>
      <c r="B16" s="1">
        <v>248238.1321038123</v>
      </c>
      <c r="C16" s="1">
        <v>37235.719815571843</v>
      </c>
      <c r="D16" s="1">
        <v>136530.97265709681</v>
      </c>
      <c r="E16" s="1">
        <v>74471.439631143687</v>
      </c>
      <c r="F16" s="1">
        <v>24823.813210381231</v>
      </c>
      <c r="G16" s="2">
        <v>90000</v>
      </c>
      <c r="H16" s="2">
        <v>5000</v>
      </c>
      <c r="I16" s="2">
        <v>1500</v>
      </c>
      <c r="J16" s="2">
        <v>500</v>
      </c>
      <c r="K16" s="1">
        <v>74471.439631143687</v>
      </c>
      <c r="L16" s="1">
        <v>37235.719815571843</v>
      </c>
      <c r="M16" s="1">
        <v>208707.15944671561</v>
      </c>
      <c r="N16" s="1">
        <v>39530.972657096747</v>
      </c>
      <c r="O16" s="1">
        <v>572221.78902192623</v>
      </c>
    </row>
    <row r="17" spans="1:15">
      <c r="A17" s="3">
        <v>44652</v>
      </c>
      <c r="B17" s="1">
        <v>261434.96905868861</v>
      </c>
      <c r="C17" s="1">
        <v>39215.245358803288</v>
      </c>
      <c r="D17" s="1">
        <v>143789.2329822788</v>
      </c>
      <c r="E17" s="1">
        <v>78430.49071760659</v>
      </c>
      <c r="F17" s="1">
        <v>26143.496905868869</v>
      </c>
      <c r="G17" s="2">
        <v>90000</v>
      </c>
      <c r="H17" s="2">
        <v>5000</v>
      </c>
      <c r="I17" s="2">
        <v>1500</v>
      </c>
      <c r="J17" s="2">
        <v>500</v>
      </c>
      <c r="K17" s="1">
        <v>78430.49071760659</v>
      </c>
      <c r="L17" s="1">
        <v>39215.245358803288</v>
      </c>
      <c r="M17" s="1">
        <v>214645.7360764099</v>
      </c>
      <c r="N17" s="1">
        <v>46789.232982278772</v>
      </c>
      <c r="O17" s="1">
        <v>619011.02200420504</v>
      </c>
    </row>
    <row r="18" spans="1:15">
      <c r="A18" s="3">
        <v>44682</v>
      </c>
      <c r="B18" s="1">
        <v>286702.84645096381</v>
      </c>
      <c r="C18" s="1">
        <v>43005.426967644569</v>
      </c>
      <c r="D18" s="1">
        <v>157686.56554803011</v>
      </c>
      <c r="E18" s="1">
        <v>86010.853935289138</v>
      </c>
      <c r="F18" s="1">
        <v>28670.284645096381</v>
      </c>
      <c r="G18" s="2">
        <v>90000</v>
      </c>
      <c r="H18" s="2">
        <v>5000</v>
      </c>
      <c r="I18" s="2">
        <v>1500</v>
      </c>
      <c r="J18" s="2">
        <v>500</v>
      </c>
      <c r="K18" s="1">
        <v>86010.853935289138</v>
      </c>
      <c r="L18" s="1">
        <v>43005.426967644569</v>
      </c>
      <c r="M18" s="1">
        <v>226016.28090293371</v>
      </c>
      <c r="N18" s="1">
        <v>60686.565548030107</v>
      </c>
      <c r="O18" s="1">
        <v>679697.58755223511</v>
      </c>
    </row>
    <row r="19" spans="1:15">
      <c r="A19" s="3">
        <v>44713</v>
      </c>
      <c r="B19" s="1">
        <v>312220.90084712289</v>
      </c>
      <c r="C19" s="1">
        <v>46833.135127068439</v>
      </c>
      <c r="D19" s="1">
        <v>171721.4954659176</v>
      </c>
      <c r="E19" s="1">
        <v>93666.270254136878</v>
      </c>
      <c r="F19" s="1">
        <v>31222.090084712301</v>
      </c>
      <c r="G19" s="2">
        <v>90000</v>
      </c>
      <c r="H19" s="2">
        <v>5000</v>
      </c>
      <c r="I19" s="2">
        <v>1500</v>
      </c>
      <c r="J19" s="2">
        <v>500</v>
      </c>
      <c r="K19" s="1">
        <v>93666.270254136878</v>
      </c>
      <c r="L19" s="1">
        <v>46833.135127068439</v>
      </c>
      <c r="M19" s="1">
        <v>237499.40538120529</v>
      </c>
      <c r="N19" s="1">
        <v>74721.495465917629</v>
      </c>
      <c r="O19" s="1">
        <v>754419.08301815274</v>
      </c>
    </row>
    <row r="20" spans="1:15">
      <c r="A20" s="3">
        <v>44743</v>
      </c>
      <c r="B20" s="1">
        <v>301776.01093496953</v>
      </c>
      <c r="C20" s="1">
        <v>45266.401640245429</v>
      </c>
      <c r="D20" s="1">
        <v>165976.80601423321</v>
      </c>
      <c r="E20" s="1">
        <v>90532.803280490858</v>
      </c>
      <c r="F20" s="1">
        <v>30177.601093496949</v>
      </c>
      <c r="G20" s="2">
        <v>90000</v>
      </c>
      <c r="H20" s="2">
        <v>5000</v>
      </c>
      <c r="I20" s="2">
        <v>1500</v>
      </c>
      <c r="J20" s="2">
        <v>500</v>
      </c>
      <c r="K20" s="1">
        <v>90532.803280490858</v>
      </c>
      <c r="L20" s="1">
        <v>45266.401640245429</v>
      </c>
      <c r="M20" s="1">
        <v>232799.20492073629</v>
      </c>
      <c r="N20" s="1">
        <v>68976.80601423324</v>
      </c>
      <c r="O20" s="1">
        <v>823395.88903238601</v>
      </c>
    </row>
    <row r="21" spans="1:15">
      <c r="A21" s="3">
        <v>44774</v>
      </c>
      <c r="B21" s="1">
        <v>291206.03252087423</v>
      </c>
      <c r="C21" s="1">
        <v>43680.904878131143</v>
      </c>
      <c r="D21" s="1">
        <v>160163.3178864808</v>
      </c>
      <c r="E21" s="1">
        <v>87361.809756262272</v>
      </c>
      <c r="F21" s="1">
        <v>29120.603252087429</v>
      </c>
      <c r="G21" s="2">
        <v>90000</v>
      </c>
      <c r="H21" s="2">
        <v>5000</v>
      </c>
      <c r="I21" s="2">
        <v>1500</v>
      </c>
      <c r="J21" s="2">
        <v>500</v>
      </c>
      <c r="K21" s="1">
        <v>87361.809756262272</v>
      </c>
      <c r="L21" s="1">
        <v>43680.904878131143</v>
      </c>
      <c r="M21" s="1">
        <v>228042.7146343934</v>
      </c>
      <c r="N21" s="1">
        <v>63163.3178864808</v>
      </c>
      <c r="O21" s="1">
        <v>886559.20691886684</v>
      </c>
    </row>
    <row r="22" spans="1:15">
      <c r="A22" s="3">
        <v>44805</v>
      </c>
      <c r="B22" s="1">
        <v>280510.96560483699</v>
      </c>
      <c r="C22" s="1">
        <v>42076.644840725538</v>
      </c>
      <c r="D22" s="1">
        <v>154281.0310826604</v>
      </c>
      <c r="E22" s="1">
        <v>84153.28968145109</v>
      </c>
      <c r="F22" s="1">
        <v>28051.0965604837</v>
      </c>
      <c r="G22" s="2">
        <v>90000</v>
      </c>
      <c r="H22" s="2">
        <v>5000</v>
      </c>
      <c r="I22" s="2">
        <v>1500</v>
      </c>
      <c r="J22" s="2">
        <v>500</v>
      </c>
      <c r="K22" s="1">
        <v>84153.28968145109</v>
      </c>
      <c r="L22" s="1">
        <v>42076.644840725538</v>
      </c>
      <c r="M22" s="1">
        <v>223229.93452217671</v>
      </c>
      <c r="N22" s="1">
        <v>57281.031082660338</v>
      </c>
      <c r="O22" s="1">
        <v>943840.23800152715</v>
      </c>
    </row>
    <row r="23" spans="1:15">
      <c r="A23" s="3">
        <v>44835</v>
      </c>
      <c r="B23" s="1">
        <v>269690.81018685782</v>
      </c>
      <c r="C23" s="1">
        <v>40453.621528028663</v>
      </c>
      <c r="D23" s="1">
        <v>148329.9456027718</v>
      </c>
      <c r="E23" s="1">
        <v>80907.243056057327</v>
      </c>
      <c r="F23" s="1">
        <v>26969.081018685782</v>
      </c>
      <c r="G23" s="2">
        <v>90000</v>
      </c>
      <c r="H23" s="2">
        <v>5000</v>
      </c>
      <c r="I23" s="2">
        <v>1500</v>
      </c>
      <c r="J23" s="2">
        <v>500</v>
      </c>
      <c r="K23" s="1">
        <v>80907.243056057327</v>
      </c>
      <c r="L23" s="1">
        <v>40453.621528028663</v>
      </c>
      <c r="M23" s="1">
        <v>218360.864584086</v>
      </c>
      <c r="N23" s="1">
        <v>51329.945602771797</v>
      </c>
      <c r="O23" s="1">
        <v>995170.18360429897</v>
      </c>
    </row>
    <row r="24" spans="1:15">
      <c r="A24" s="3">
        <v>44866</v>
      </c>
      <c r="B24" s="1">
        <v>246424.3488256539</v>
      </c>
      <c r="C24" s="1">
        <v>36963.65232384808</v>
      </c>
      <c r="D24" s="1">
        <v>135533.39185410971</v>
      </c>
      <c r="E24" s="1">
        <v>73927.304647696161</v>
      </c>
      <c r="F24" s="1">
        <v>24642.434882565391</v>
      </c>
      <c r="G24" s="2">
        <v>90000</v>
      </c>
      <c r="H24" s="2">
        <v>5000</v>
      </c>
      <c r="I24" s="2">
        <v>1500</v>
      </c>
      <c r="J24" s="2">
        <v>500</v>
      </c>
      <c r="K24" s="1">
        <v>73927.304647696161</v>
      </c>
      <c r="L24" s="1">
        <v>36963.65232384808</v>
      </c>
      <c r="M24" s="1">
        <v>207890.95697154419</v>
      </c>
      <c r="N24" s="1">
        <v>38533.391854109679</v>
      </c>
      <c r="O24" s="1">
        <v>1033703.575458409</v>
      </c>
    </row>
    <row r="25" spans="1:15">
      <c r="A25" s="3">
        <v>44896</v>
      </c>
      <c r="B25" s="1">
        <v>222907.7104605661</v>
      </c>
      <c r="C25" s="1">
        <v>33436.156569084917</v>
      </c>
      <c r="D25" s="1">
        <v>122599.2407533114</v>
      </c>
      <c r="E25" s="1">
        <v>66872.313138169833</v>
      </c>
      <c r="F25" s="1">
        <v>22290.77104605662</v>
      </c>
      <c r="G25" s="2">
        <v>90000</v>
      </c>
      <c r="H25" s="2">
        <v>5000</v>
      </c>
      <c r="I25" s="2">
        <v>1500</v>
      </c>
      <c r="J25" s="2">
        <v>500</v>
      </c>
      <c r="K25" s="1">
        <v>66872.313138169833</v>
      </c>
      <c r="L25" s="1">
        <v>33436.156569084917</v>
      </c>
      <c r="M25" s="1">
        <v>197308.4697072547</v>
      </c>
      <c r="N25" s="1">
        <v>25599.240753311398</v>
      </c>
      <c r="O25" s="1">
        <v>1059302.81621172</v>
      </c>
    </row>
    <row r="26" spans="1:15">
      <c r="A26" s="3">
        <v>44927</v>
      </c>
      <c r="B26" s="1">
        <v>248926.11886449301</v>
      </c>
      <c r="C26" s="1">
        <v>37338.917829673948</v>
      </c>
      <c r="D26" s="1">
        <v>136909.36537547121</v>
      </c>
      <c r="E26" s="1">
        <v>74677.835659347897</v>
      </c>
      <c r="F26" s="1">
        <v>24892.6118864493</v>
      </c>
      <c r="G26" s="2">
        <v>90000</v>
      </c>
      <c r="H26" s="2">
        <v>5000</v>
      </c>
      <c r="I26" s="2">
        <v>1500</v>
      </c>
      <c r="J26" s="2">
        <v>500</v>
      </c>
      <c r="K26" s="1">
        <v>74677.835659347897</v>
      </c>
      <c r="L26" s="1">
        <v>37338.917829673948</v>
      </c>
      <c r="M26" s="1">
        <v>209016.75348902179</v>
      </c>
      <c r="N26" s="1">
        <v>39909.365375471178</v>
      </c>
      <c r="O26" s="1">
        <v>1099212.1815871911</v>
      </c>
    </row>
    <row r="27" spans="1:15">
      <c r="A27" s="3">
        <v>44958</v>
      </c>
      <c r="B27" s="1">
        <v>237668.15368971691</v>
      </c>
      <c r="C27" s="1">
        <v>35650.223053457543</v>
      </c>
      <c r="D27" s="1">
        <v>130717.48452934431</v>
      </c>
      <c r="E27" s="1">
        <v>71300.446106915086</v>
      </c>
      <c r="F27" s="1">
        <v>23766.8153689717</v>
      </c>
      <c r="G27" s="2">
        <v>90000</v>
      </c>
      <c r="H27" s="2">
        <v>5000</v>
      </c>
      <c r="I27" s="2">
        <v>1500</v>
      </c>
      <c r="J27" s="2">
        <v>500</v>
      </c>
      <c r="K27" s="1">
        <v>71300.446106915086</v>
      </c>
      <c r="L27" s="1">
        <v>35650.223053457543</v>
      </c>
      <c r="M27" s="1">
        <v>203950.66916037261</v>
      </c>
      <c r="N27" s="1">
        <v>33717.484529344343</v>
      </c>
      <c r="O27" s="1">
        <v>1132929.6661165359</v>
      </c>
    </row>
    <row r="28" spans="1:15">
      <c r="A28" s="3">
        <v>44986</v>
      </c>
      <c r="B28" s="1">
        <v>263999.28334849881</v>
      </c>
      <c r="C28" s="1">
        <v>39599.892502274823</v>
      </c>
      <c r="D28" s="1">
        <v>145199.60584167429</v>
      </c>
      <c r="E28" s="1">
        <v>79199.785004549645</v>
      </c>
      <c r="F28" s="1">
        <v>26399.928334849879</v>
      </c>
      <c r="G28" s="2">
        <v>90000</v>
      </c>
      <c r="H28" s="2">
        <v>5000</v>
      </c>
      <c r="I28" s="2">
        <v>1500</v>
      </c>
      <c r="J28" s="2">
        <v>500</v>
      </c>
      <c r="K28" s="1">
        <v>79199.785004549645</v>
      </c>
      <c r="L28" s="1">
        <v>39599.892502274823</v>
      </c>
      <c r="M28" s="1">
        <v>215799.67750682449</v>
      </c>
      <c r="N28" s="1">
        <v>48199.605841674318</v>
      </c>
      <c r="O28" s="1">
        <v>1181129.27195821</v>
      </c>
    </row>
    <row r="29" spans="1:15">
      <c r="A29" s="3">
        <v>45017</v>
      </c>
      <c r="B29" s="1">
        <v>277946.65131502692</v>
      </c>
      <c r="C29" s="1">
        <v>41691.997697254039</v>
      </c>
      <c r="D29" s="1">
        <v>152870.65822326479</v>
      </c>
      <c r="E29" s="1">
        <v>83383.995394508078</v>
      </c>
      <c r="F29" s="1">
        <v>27794.66513150269</v>
      </c>
      <c r="G29" s="2">
        <v>90000</v>
      </c>
      <c r="H29" s="2">
        <v>5000</v>
      </c>
      <c r="I29" s="2">
        <v>1500</v>
      </c>
      <c r="J29" s="2">
        <v>500</v>
      </c>
      <c r="K29" s="1">
        <v>83383.995394508078</v>
      </c>
      <c r="L29" s="1">
        <v>41691.997697254039</v>
      </c>
      <c r="M29" s="1">
        <v>222075.99309176209</v>
      </c>
      <c r="N29" s="1">
        <v>55870.658223264822</v>
      </c>
      <c r="O29" s="1">
        <v>1236999.9301814749</v>
      </c>
    </row>
    <row r="30" spans="1:15">
      <c r="A30" s="3">
        <v>45047</v>
      </c>
      <c r="B30" s="1">
        <v>304715.59073060547</v>
      </c>
      <c r="C30" s="1">
        <v>45707.338609590828</v>
      </c>
      <c r="D30" s="1">
        <v>167593.57490183311</v>
      </c>
      <c r="E30" s="1">
        <v>91414.677219181656</v>
      </c>
      <c r="F30" s="1">
        <v>30471.559073060551</v>
      </c>
      <c r="G30" s="2">
        <v>90000</v>
      </c>
      <c r="H30" s="2">
        <v>5000</v>
      </c>
      <c r="I30" s="2">
        <v>1500</v>
      </c>
      <c r="J30" s="2">
        <v>500</v>
      </c>
      <c r="K30" s="1">
        <v>91414.677219181656</v>
      </c>
      <c r="L30" s="1">
        <v>45707.338609590828</v>
      </c>
      <c r="M30" s="1">
        <v>234122.01582877251</v>
      </c>
      <c r="N30" s="1">
        <v>70593.574901833024</v>
      </c>
      <c r="O30" s="1">
        <v>1307593.5050833081</v>
      </c>
    </row>
    <row r="31" spans="1:15">
      <c r="A31" s="3">
        <v>45078</v>
      </c>
      <c r="B31" s="1">
        <v>331734.70715006808</v>
      </c>
      <c r="C31" s="1">
        <v>49760.20607251022</v>
      </c>
      <c r="D31" s="1">
        <v>182454.0889325375</v>
      </c>
      <c r="E31" s="1">
        <v>99520.41214502044</v>
      </c>
      <c r="F31" s="1">
        <v>33173.470715006813</v>
      </c>
      <c r="G31" s="2">
        <v>90000</v>
      </c>
      <c r="H31" s="2">
        <v>5000</v>
      </c>
      <c r="I31" s="2">
        <v>1500</v>
      </c>
      <c r="J31" s="2">
        <v>500</v>
      </c>
      <c r="K31" s="1">
        <v>99520.41214502044</v>
      </c>
      <c r="L31" s="1">
        <v>49760.20607251022</v>
      </c>
      <c r="M31" s="1">
        <v>246280.61821753069</v>
      </c>
      <c r="N31" s="1">
        <v>85454.088932537474</v>
      </c>
      <c r="O31" s="1">
        <v>1393047.5940158451</v>
      </c>
    </row>
    <row r="32" spans="1:15">
      <c r="A32" s="3">
        <v>45108</v>
      </c>
      <c r="B32" s="1">
        <v>320539.28622626298</v>
      </c>
      <c r="C32" s="1">
        <v>48080.892933939453</v>
      </c>
      <c r="D32" s="1">
        <v>176296.60742444469</v>
      </c>
      <c r="E32" s="1">
        <v>96161.785867878891</v>
      </c>
      <c r="F32" s="1">
        <v>32053.928622626299</v>
      </c>
      <c r="G32" s="2">
        <v>90000</v>
      </c>
      <c r="H32" s="2">
        <v>5000</v>
      </c>
      <c r="I32" s="2">
        <v>1500</v>
      </c>
      <c r="J32" s="2">
        <v>500</v>
      </c>
      <c r="K32" s="1">
        <v>96161.785867878891</v>
      </c>
      <c r="L32" s="1">
        <v>48080.892933939453</v>
      </c>
      <c r="M32" s="1">
        <v>241242.67880181831</v>
      </c>
      <c r="N32" s="1">
        <v>79296.607424444665</v>
      </c>
      <c r="O32" s="1">
        <v>1472344.2014402901</v>
      </c>
    </row>
    <row r="33" spans="1:15">
      <c r="A33" s="3">
        <v>45139</v>
      </c>
      <c r="B33" s="1">
        <v>309218.77680051589</v>
      </c>
      <c r="C33" s="1">
        <v>46382.816520077387</v>
      </c>
      <c r="D33" s="1">
        <v>170070.3272402838</v>
      </c>
      <c r="E33" s="1">
        <v>92765.633040154775</v>
      </c>
      <c r="F33" s="1">
        <v>30921.877680051599</v>
      </c>
      <c r="G33" s="2">
        <v>90000</v>
      </c>
      <c r="H33" s="2">
        <v>5000</v>
      </c>
      <c r="I33" s="2">
        <v>1500</v>
      </c>
      <c r="J33" s="2">
        <v>500</v>
      </c>
      <c r="K33" s="1">
        <v>92765.633040154775</v>
      </c>
      <c r="L33" s="1">
        <v>46382.816520077387</v>
      </c>
      <c r="M33" s="1">
        <v>236148.44956023211</v>
      </c>
      <c r="N33" s="1">
        <v>73070.327240283805</v>
      </c>
      <c r="O33" s="1">
        <v>1545414.5286805739</v>
      </c>
    </row>
    <row r="34" spans="1:15">
      <c r="A34" s="3">
        <v>45170</v>
      </c>
      <c r="B34" s="1">
        <v>297773.17887282692</v>
      </c>
      <c r="C34" s="1">
        <v>44665.976830924039</v>
      </c>
      <c r="D34" s="1">
        <v>163775.24838005481</v>
      </c>
      <c r="E34" s="1">
        <v>89331.953661848078</v>
      </c>
      <c r="F34" s="1">
        <v>29777.31788728269</v>
      </c>
      <c r="G34" s="2">
        <v>90000</v>
      </c>
      <c r="H34" s="2">
        <v>5000</v>
      </c>
      <c r="I34" s="2">
        <v>1500</v>
      </c>
      <c r="J34" s="2">
        <v>500</v>
      </c>
      <c r="K34" s="1">
        <v>89331.953661848078</v>
      </c>
      <c r="L34" s="1">
        <v>44665.976830924039</v>
      </c>
      <c r="M34" s="1">
        <v>230997.93049277211</v>
      </c>
      <c r="N34" s="1">
        <v>66775.248380054778</v>
      </c>
      <c r="O34" s="1">
        <v>1612189.7770606291</v>
      </c>
    </row>
    <row r="35" spans="1:15">
      <c r="A35" s="3">
        <v>45200</v>
      </c>
      <c r="B35" s="1">
        <v>286202.49244319601</v>
      </c>
      <c r="C35" s="1">
        <v>42930.3738664794</v>
      </c>
      <c r="D35" s="1">
        <v>157411.37084375779</v>
      </c>
      <c r="E35" s="1">
        <v>85860.7477329588</v>
      </c>
      <c r="F35" s="1">
        <v>28620.249244319599</v>
      </c>
      <c r="G35" s="2">
        <v>90000</v>
      </c>
      <c r="H35" s="2">
        <v>5000</v>
      </c>
      <c r="I35" s="2">
        <v>1500</v>
      </c>
      <c r="J35" s="2">
        <v>500</v>
      </c>
      <c r="K35" s="1">
        <v>85860.7477329588</v>
      </c>
      <c r="L35" s="1">
        <v>42930.3738664794</v>
      </c>
      <c r="M35" s="1">
        <v>225791.12159943819</v>
      </c>
      <c r="N35" s="1">
        <v>60411.370843757788</v>
      </c>
      <c r="O35" s="1">
        <v>1672601.147904387</v>
      </c>
    </row>
    <row r="36" spans="1:15">
      <c r="A36" s="3">
        <v>45231</v>
      </c>
      <c r="B36" s="1">
        <v>261434.96905868861</v>
      </c>
      <c r="C36" s="1">
        <v>39215.245358803288</v>
      </c>
      <c r="D36" s="1">
        <v>143789.2329822788</v>
      </c>
      <c r="E36" s="1">
        <v>78430.49071760659</v>
      </c>
      <c r="F36" s="1">
        <v>26143.496905868869</v>
      </c>
      <c r="G36" s="2">
        <v>90000</v>
      </c>
      <c r="H36" s="2">
        <v>5000</v>
      </c>
      <c r="I36" s="2">
        <v>1500</v>
      </c>
      <c r="J36" s="2">
        <v>500</v>
      </c>
      <c r="K36" s="1">
        <v>78430.49071760659</v>
      </c>
      <c r="L36" s="1">
        <v>39215.245358803288</v>
      </c>
      <c r="M36" s="1">
        <v>214645.7360764099</v>
      </c>
      <c r="N36" s="1">
        <v>46789.232982278772</v>
      </c>
      <c r="O36" s="1">
        <v>1719390.3808866651</v>
      </c>
    </row>
    <row r="37" spans="1:15">
      <c r="A37" s="3">
        <v>45261</v>
      </c>
      <c r="B37" s="1">
        <v>236417.2686702974</v>
      </c>
      <c r="C37" s="1">
        <v>35462.590300544602</v>
      </c>
      <c r="D37" s="1">
        <v>130029.4977686636</v>
      </c>
      <c r="E37" s="1">
        <v>70925.180601089203</v>
      </c>
      <c r="F37" s="1">
        <v>23641.726867029742</v>
      </c>
      <c r="G37" s="2">
        <v>90000</v>
      </c>
      <c r="H37" s="2">
        <v>5000</v>
      </c>
      <c r="I37" s="2">
        <v>1500</v>
      </c>
      <c r="J37" s="2">
        <v>500</v>
      </c>
      <c r="K37" s="1">
        <v>70925.180601089203</v>
      </c>
      <c r="L37" s="1">
        <v>35462.590300544602</v>
      </c>
      <c r="M37" s="1">
        <v>203387.7709016338</v>
      </c>
      <c r="N37" s="1">
        <v>33029.497768663568</v>
      </c>
      <c r="O37" s="1">
        <v>1752419.8786553291</v>
      </c>
    </row>
  </sheetData>
  <pageMargins left="0.7" right="0.7" top="0.75" bottom="0.75" header="0.3" footer="0.3"/>
  <headerFooter>
    <oddHeader>&amp;R&amp;"Calibri"&amp;10&amp;K000000 #interna&amp;1#_x000D_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088C-E242-4EC5-9825-3C1151F95943}">
  <dimension ref="A1:O37"/>
  <sheetViews>
    <sheetView workbookViewId="0">
      <selection activeCell="O3" sqref="O3"/>
    </sheetView>
  </sheetViews>
  <sheetFormatPr defaultRowHeight="14.45"/>
  <cols>
    <col min="1" max="1" width="18" bestFit="1" customWidth="1"/>
    <col min="2" max="2" width="12.28515625" bestFit="1" customWidth="1"/>
    <col min="3" max="3" width="17.85546875" customWidth="1"/>
    <col min="4" max="4" width="14.28515625" customWidth="1"/>
    <col min="5" max="5" width="12.5703125" customWidth="1"/>
    <col min="6" max="6" width="16.7109375" customWidth="1"/>
    <col min="7" max="7" width="15.140625" customWidth="1"/>
    <col min="8" max="8" width="12.42578125" customWidth="1"/>
    <col min="9" max="9" width="12.28515625" customWidth="1"/>
    <col min="10" max="10" width="10.28515625" customWidth="1"/>
    <col min="11" max="11" width="15.28515625" customWidth="1"/>
    <col min="12" max="12" width="15.7109375" customWidth="1"/>
    <col min="13" max="13" width="13.7109375" customWidth="1"/>
    <col min="14" max="14" width="12.42578125" bestFit="1" customWidth="1"/>
    <col min="15" max="15" width="16.140625" bestFit="1" customWidth="1"/>
  </cols>
  <sheetData>
    <row r="1" spans="1:15" ht="28.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3">
        <v>44197</v>
      </c>
      <c r="B2" s="1">
        <v>30567.8182061035</v>
      </c>
      <c r="C2" s="1">
        <v>10698.736372136231</v>
      </c>
      <c r="D2" s="1">
        <v>6113.5636412207014</v>
      </c>
      <c r="E2" s="1">
        <v>12227.127282441401</v>
      </c>
      <c r="F2" s="1">
        <v>1528.3909103051751</v>
      </c>
      <c r="G2" s="2">
        <v>15000</v>
      </c>
      <c r="H2" s="2">
        <v>2000</v>
      </c>
      <c r="I2" s="2">
        <v>800</v>
      </c>
      <c r="J2" s="2">
        <v>300</v>
      </c>
      <c r="K2" s="1">
        <v>9170.3454618310516</v>
      </c>
      <c r="L2" s="1">
        <v>4585.1727309155258</v>
      </c>
      <c r="M2" s="1">
        <v>31855.518192746571</v>
      </c>
      <c r="N2" s="1">
        <v>-1287.699986643071</v>
      </c>
      <c r="O2" s="1">
        <v>-1287.699986643071</v>
      </c>
    </row>
    <row r="3" spans="1:15">
      <c r="A3" s="3">
        <v>44228</v>
      </c>
      <c r="B3" s="1">
        <v>28997.942399661471</v>
      </c>
      <c r="C3" s="1">
        <v>10149.27983988151</v>
      </c>
      <c r="D3" s="1">
        <v>5799.5884799322948</v>
      </c>
      <c r="E3" s="1">
        <v>11599.17695986459</v>
      </c>
      <c r="F3" s="1">
        <v>1449.8971199830739</v>
      </c>
      <c r="G3" s="2">
        <v>15000</v>
      </c>
      <c r="H3" s="2">
        <v>2000</v>
      </c>
      <c r="I3" s="2">
        <v>800</v>
      </c>
      <c r="J3" s="2">
        <v>300</v>
      </c>
      <c r="K3" s="1">
        <v>8699.3827198984418</v>
      </c>
      <c r="L3" s="1">
        <v>4349.6913599492209</v>
      </c>
      <c r="M3" s="1">
        <v>31149.074079847669</v>
      </c>
      <c r="N3" s="1">
        <v>-2151.131680186194</v>
      </c>
      <c r="O3" s="1">
        <v>-3438.831666829265</v>
      </c>
    </row>
    <row r="4" spans="1:15">
      <c r="A4" s="3">
        <v>44256</v>
      </c>
      <c r="B4" s="1">
        <v>32004.505661790368</v>
      </c>
      <c r="C4" s="1">
        <v>11201.576981626629</v>
      </c>
      <c r="D4" s="1">
        <v>6400.9011323580744</v>
      </c>
      <c r="E4" s="1">
        <v>12801.802264716151</v>
      </c>
      <c r="F4" s="1">
        <v>1600.2252830895191</v>
      </c>
      <c r="G4" s="2">
        <v>15000</v>
      </c>
      <c r="H4" s="2">
        <v>2000</v>
      </c>
      <c r="I4" s="2">
        <v>800</v>
      </c>
      <c r="J4" s="2">
        <v>300</v>
      </c>
      <c r="K4" s="1">
        <v>9601.3516985371098</v>
      </c>
      <c r="L4" s="1">
        <v>4800.6758492685549</v>
      </c>
      <c r="M4" s="1">
        <v>32502.027547805661</v>
      </c>
      <c r="N4" s="1">
        <v>-497.52188601529627</v>
      </c>
      <c r="O4" s="1">
        <v>-3936.3535528445609</v>
      </c>
    </row>
    <row r="5" spans="1:15">
      <c r="A5" s="3">
        <v>44287</v>
      </c>
      <c r="B5" s="1">
        <v>33480.494598027937</v>
      </c>
      <c r="C5" s="1">
        <v>11718.173109309781</v>
      </c>
      <c r="D5" s="1">
        <v>6696.098919605588</v>
      </c>
      <c r="E5" s="1">
        <v>13392.19783921118</v>
      </c>
      <c r="F5" s="1">
        <v>1674.024729901397</v>
      </c>
      <c r="G5" s="2">
        <v>15000</v>
      </c>
      <c r="H5" s="2">
        <v>2000</v>
      </c>
      <c r="I5" s="2">
        <v>800</v>
      </c>
      <c r="J5" s="2">
        <v>300</v>
      </c>
      <c r="K5" s="1">
        <v>10044.14837940838</v>
      </c>
      <c r="L5" s="1">
        <v>5022.0741897041908</v>
      </c>
      <c r="M5" s="1">
        <v>33166.222569112571</v>
      </c>
      <c r="N5" s="1">
        <v>314.27202891536581</v>
      </c>
      <c r="O5" s="1">
        <v>-3622.0815239291951</v>
      </c>
    </row>
    <row r="6" spans="1:15">
      <c r="A6" s="3">
        <v>44317</v>
      </c>
      <c r="B6" s="1">
        <v>36471.773951053787</v>
      </c>
      <c r="C6" s="1">
        <v>12765.12088286882</v>
      </c>
      <c r="D6" s="1">
        <v>7294.3547902107584</v>
      </c>
      <c r="E6" s="1">
        <v>14588.709580421521</v>
      </c>
      <c r="F6" s="1">
        <v>1823.5886975526889</v>
      </c>
      <c r="G6" s="2">
        <v>15000</v>
      </c>
      <c r="H6" s="2">
        <v>2000</v>
      </c>
      <c r="I6" s="2">
        <v>800</v>
      </c>
      <c r="J6" s="2">
        <v>300</v>
      </c>
      <c r="K6" s="1">
        <v>10941.532185316129</v>
      </c>
      <c r="L6" s="1">
        <v>5470.7660926580666</v>
      </c>
      <c r="M6" s="1">
        <v>34512.298277974201</v>
      </c>
      <c r="N6" s="1">
        <v>1959.475673079585</v>
      </c>
      <c r="O6" s="1">
        <v>-1662.6058508496101</v>
      </c>
    </row>
    <row r="7" spans="1:15">
      <c r="A7" s="3">
        <v>44348</v>
      </c>
      <c r="B7" s="1">
        <v>39454.319641735019</v>
      </c>
      <c r="C7" s="1">
        <v>13809.01187460726</v>
      </c>
      <c r="D7" s="1">
        <v>7890.8639283470038</v>
      </c>
      <c r="E7" s="1">
        <v>15781.727856694009</v>
      </c>
      <c r="F7" s="1">
        <v>1972.715982086751</v>
      </c>
      <c r="G7" s="2">
        <v>15000</v>
      </c>
      <c r="H7" s="2">
        <v>2000</v>
      </c>
      <c r="I7" s="2">
        <v>800</v>
      </c>
      <c r="J7" s="2">
        <v>300</v>
      </c>
      <c r="K7" s="1">
        <v>11836.295892520509</v>
      </c>
      <c r="L7" s="1">
        <v>5918.1479462602529</v>
      </c>
      <c r="M7" s="1">
        <v>35854.44383878076</v>
      </c>
      <c r="N7" s="1">
        <v>3599.8758029542591</v>
      </c>
      <c r="O7" s="1">
        <v>1937.2699521046491</v>
      </c>
    </row>
    <row r="8" spans="1:15">
      <c r="A8" s="3">
        <v>44378</v>
      </c>
      <c r="B8" s="1">
        <v>37882.260419706843</v>
      </c>
      <c r="C8" s="1">
        <v>13258.791146897391</v>
      </c>
      <c r="D8" s="1">
        <v>7576.452083941369</v>
      </c>
      <c r="E8" s="1">
        <v>15152.90416788274</v>
      </c>
      <c r="F8" s="1">
        <v>1894.113020985342</v>
      </c>
      <c r="G8" s="2">
        <v>15000</v>
      </c>
      <c r="H8" s="2">
        <v>2000</v>
      </c>
      <c r="I8" s="2">
        <v>800</v>
      </c>
      <c r="J8" s="2">
        <v>300</v>
      </c>
      <c r="K8" s="1">
        <v>11364.678125912051</v>
      </c>
      <c r="L8" s="1">
        <v>5682.3390629560263</v>
      </c>
      <c r="M8" s="1">
        <v>35147.017188868078</v>
      </c>
      <c r="N8" s="1">
        <v>2735.2432308387652</v>
      </c>
      <c r="O8" s="1">
        <v>4672.513182943414</v>
      </c>
    </row>
    <row r="9" spans="1:15">
      <c r="A9" s="3">
        <v>44409</v>
      </c>
      <c r="B9" s="1">
        <v>36314.568028850961</v>
      </c>
      <c r="C9" s="1">
        <v>12710.098810097839</v>
      </c>
      <c r="D9" s="1">
        <v>7262.9136057701926</v>
      </c>
      <c r="E9" s="1">
        <v>14525.827211540391</v>
      </c>
      <c r="F9" s="1">
        <v>1815.7284014425479</v>
      </c>
      <c r="G9" s="2">
        <v>15000</v>
      </c>
      <c r="H9" s="2">
        <v>2000</v>
      </c>
      <c r="I9" s="2">
        <v>800</v>
      </c>
      <c r="J9" s="2">
        <v>300</v>
      </c>
      <c r="K9" s="1">
        <v>10894.37040865529</v>
      </c>
      <c r="L9" s="1">
        <v>5447.185204327644</v>
      </c>
      <c r="M9" s="1">
        <v>34441.555612982927</v>
      </c>
      <c r="N9" s="1">
        <v>1873.012415868026</v>
      </c>
      <c r="O9" s="1">
        <v>6545.5255988114404</v>
      </c>
    </row>
    <row r="10" spans="1:15">
      <c r="A10" s="3">
        <v>44440</v>
      </c>
      <c r="B10" s="1">
        <v>34751.24246916738</v>
      </c>
      <c r="C10" s="1">
        <v>12162.934864208581</v>
      </c>
      <c r="D10" s="1">
        <v>6950.2484938334755</v>
      </c>
      <c r="E10" s="1">
        <v>13900.496987666949</v>
      </c>
      <c r="F10" s="1">
        <v>1737.5621234583689</v>
      </c>
      <c r="G10" s="2">
        <v>15000</v>
      </c>
      <c r="H10" s="2">
        <v>2000</v>
      </c>
      <c r="I10" s="2">
        <v>800</v>
      </c>
      <c r="J10" s="2">
        <v>300</v>
      </c>
      <c r="K10" s="1">
        <v>10425.37274075021</v>
      </c>
      <c r="L10" s="1">
        <v>5212.6863703751069</v>
      </c>
      <c r="M10" s="1">
        <v>33738.059111125323</v>
      </c>
      <c r="N10" s="1">
        <v>1013.183358042057</v>
      </c>
      <c r="O10" s="1">
        <v>7558.7089568534984</v>
      </c>
    </row>
    <row r="11" spans="1:15">
      <c r="A11" s="3">
        <v>44470</v>
      </c>
      <c r="B11" s="1">
        <v>33192.283740656108</v>
      </c>
      <c r="C11" s="1">
        <v>11617.29930922964</v>
      </c>
      <c r="D11" s="1">
        <v>6638.4567481312224</v>
      </c>
      <c r="E11" s="1">
        <v>13276.913496262439</v>
      </c>
      <c r="F11" s="1">
        <v>1659.6141870328061</v>
      </c>
      <c r="G11" s="2">
        <v>15000</v>
      </c>
      <c r="H11" s="2">
        <v>2000</v>
      </c>
      <c r="I11" s="2">
        <v>800</v>
      </c>
      <c r="J11" s="2">
        <v>300</v>
      </c>
      <c r="K11" s="1">
        <v>9957.6851221968318</v>
      </c>
      <c r="L11" s="1">
        <v>4978.8425610984159</v>
      </c>
      <c r="M11" s="1">
        <v>33036.527683295251</v>
      </c>
      <c r="N11" s="1">
        <v>155.75605736085711</v>
      </c>
      <c r="O11" s="1">
        <v>7714.4650142143546</v>
      </c>
    </row>
    <row r="12" spans="1:15">
      <c r="A12" s="3">
        <v>44501</v>
      </c>
      <c r="B12" s="1">
        <v>30131.135088873449</v>
      </c>
      <c r="C12" s="1">
        <v>10545.89728110571</v>
      </c>
      <c r="D12" s="1">
        <v>6026.2270177746896</v>
      </c>
      <c r="E12" s="1">
        <v>12052.454035549379</v>
      </c>
      <c r="F12" s="1">
        <v>1506.5567544436731</v>
      </c>
      <c r="G12" s="2">
        <v>15000</v>
      </c>
      <c r="H12" s="2">
        <v>2000</v>
      </c>
      <c r="I12" s="2">
        <v>800</v>
      </c>
      <c r="J12" s="2">
        <v>300</v>
      </c>
      <c r="K12" s="1">
        <v>9039.3405266620357</v>
      </c>
      <c r="L12" s="1">
        <v>4519.6702633310178</v>
      </c>
      <c r="M12" s="1">
        <v>31659.010789993052</v>
      </c>
      <c r="N12" s="1">
        <v>-1527.8757011195989</v>
      </c>
      <c r="O12" s="1">
        <v>6186.5893130947552</v>
      </c>
    </row>
    <row r="13" spans="1:15">
      <c r="A13" s="3">
        <v>44531</v>
      </c>
      <c r="B13" s="1">
        <v>27078.720099435399</v>
      </c>
      <c r="C13" s="1">
        <v>9477.5520348023911</v>
      </c>
      <c r="D13" s="1">
        <v>5415.7440198870809</v>
      </c>
      <c r="E13" s="1">
        <v>10831.48803977416</v>
      </c>
      <c r="F13" s="1">
        <v>1353.93600497177</v>
      </c>
      <c r="G13" s="2">
        <v>15000</v>
      </c>
      <c r="H13" s="2">
        <v>2000</v>
      </c>
      <c r="I13" s="2">
        <v>800</v>
      </c>
      <c r="J13" s="2">
        <v>300</v>
      </c>
      <c r="K13" s="1">
        <v>8123.6160298306204</v>
      </c>
      <c r="L13" s="1">
        <v>4061.8080149153102</v>
      </c>
      <c r="M13" s="1">
        <v>30285.424044745931</v>
      </c>
      <c r="N13" s="1">
        <v>-3206.7039453105281</v>
      </c>
      <c r="O13" s="1">
        <v>2979.8853677842271</v>
      </c>
    </row>
    <row r="14" spans="1:15">
      <c r="A14" s="3">
        <v>44562</v>
      </c>
      <c r="B14" s="1">
        <v>30043.798465427441</v>
      </c>
      <c r="C14" s="1">
        <v>10515.329462899599</v>
      </c>
      <c r="D14" s="1">
        <v>6008.7596930854888</v>
      </c>
      <c r="E14" s="1">
        <v>12017.519386170979</v>
      </c>
      <c r="F14" s="1">
        <v>1502.189923271372</v>
      </c>
      <c r="G14" s="2">
        <v>15000</v>
      </c>
      <c r="H14" s="2">
        <v>2000</v>
      </c>
      <c r="I14" s="2">
        <v>800</v>
      </c>
      <c r="J14" s="2">
        <v>300</v>
      </c>
      <c r="K14" s="1">
        <v>9013.1395396282333</v>
      </c>
      <c r="L14" s="1">
        <v>4506.5697698141166</v>
      </c>
      <c r="M14" s="1">
        <v>31619.709309442351</v>
      </c>
      <c r="N14" s="1">
        <v>-1575.910844014903</v>
      </c>
      <c r="O14" s="1">
        <v>1403.9745237693239</v>
      </c>
    </row>
    <row r="15" spans="1:15">
      <c r="A15" s="3">
        <v>44593</v>
      </c>
      <c r="B15" s="1">
        <v>28500.123646019219</v>
      </c>
      <c r="C15" s="1">
        <v>9975.0432761067241</v>
      </c>
      <c r="D15" s="1">
        <v>5700.0247292038439</v>
      </c>
      <c r="E15" s="1">
        <v>11400.04945840769</v>
      </c>
      <c r="F15" s="1">
        <v>1425.006182300961</v>
      </c>
      <c r="G15" s="2">
        <v>15000</v>
      </c>
      <c r="H15" s="2">
        <v>2000</v>
      </c>
      <c r="I15" s="2">
        <v>800</v>
      </c>
      <c r="J15" s="2">
        <v>300</v>
      </c>
      <c r="K15" s="1">
        <v>8550.037093805764</v>
      </c>
      <c r="L15" s="1">
        <v>4275.018546902882</v>
      </c>
      <c r="M15" s="1">
        <v>30925.055640708651</v>
      </c>
      <c r="N15" s="1">
        <v>-2424.931994689432</v>
      </c>
      <c r="O15" s="1">
        <v>-1020.957470920108</v>
      </c>
    </row>
    <row r="16" spans="1:15">
      <c r="A16" s="3">
        <v>44621</v>
      </c>
      <c r="B16" s="1">
        <v>31454.284934080511</v>
      </c>
      <c r="C16" s="1">
        <v>11008.999726928179</v>
      </c>
      <c r="D16" s="1">
        <v>6290.8569868161021</v>
      </c>
      <c r="E16" s="1">
        <v>12581.713973632201</v>
      </c>
      <c r="F16" s="1">
        <v>1572.714246704026</v>
      </c>
      <c r="G16" s="2">
        <v>15000</v>
      </c>
      <c r="H16" s="2">
        <v>2000</v>
      </c>
      <c r="I16" s="2">
        <v>800</v>
      </c>
      <c r="J16" s="2">
        <v>300</v>
      </c>
      <c r="K16" s="1">
        <v>9436.2854802241527</v>
      </c>
      <c r="L16" s="1">
        <v>4718.1427401120764</v>
      </c>
      <c r="M16" s="1">
        <v>32254.428220336231</v>
      </c>
      <c r="N16" s="1">
        <v>-800.14328625572307</v>
      </c>
      <c r="O16" s="1">
        <v>-1821.1007571758309</v>
      </c>
    </row>
    <row r="17" spans="1:15">
      <c r="A17" s="3">
        <v>44652</v>
      </c>
      <c r="B17" s="1">
        <v>32904.072883284272</v>
      </c>
      <c r="C17" s="1">
        <v>11516.425509149491</v>
      </c>
      <c r="D17" s="1">
        <v>6580.814576656855</v>
      </c>
      <c r="E17" s="1">
        <v>13161.62915331371</v>
      </c>
      <c r="F17" s="1">
        <v>1645.203644164214</v>
      </c>
      <c r="G17" s="2">
        <v>15000</v>
      </c>
      <c r="H17" s="2">
        <v>2000</v>
      </c>
      <c r="I17" s="2">
        <v>800</v>
      </c>
      <c r="J17" s="2">
        <v>300</v>
      </c>
      <c r="K17" s="1">
        <v>9871.2218649852821</v>
      </c>
      <c r="L17" s="1">
        <v>4935.610932492641</v>
      </c>
      <c r="M17" s="1">
        <v>32906.832797477917</v>
      </c>
      <c r="N17" s="1">
        <v>-2.7599141936516389</v>
      </c>
      <c r="O17" s="1">
        <v>-1823.860671369483</v>
      </c>
    </row>
    <row r="18" spans="1:15">
      <c r="A18" s="3">
        <v>44682</v>
      </c>
      <c r="B18" s="1">
        <v>35842.950262242513</v>
      </c>
      <c r="C18" s="1">
        <v>12545.03259178488</v>
      </c>
      <c r="D18" s="1">
        <v>7168.5900524485014</v>
      </c>
      <c r="E18" s="1">
        <v>14337.180104896999</v>
      </c>
      <c r="F18" s="1">
        <v>1792.1475131121249</v>
      </c>
      <c r="G18" s="2">
        <v>15000</v>
      </c>
      <c r="H18" s="2">
        <v>2000</v>
      </c>
      <c r="I18" s="2">
        <v>800</v>
      </c>
      <c r="J18" s="2">
        <v>300</v>
      </c>
      <c r="K18" s="1">
        <v>10752.885078672751</v>
      </c>
      <c r="L18" s="1">
        <v>5376.4425393363754</v>
      </c>
      <c r="M18" s="1">
        <v>34229.327618009127</v>
      </c>
      <c r="N18" s="1">
        <v>1613.6226442333791</v>
      </c>
      <c r="O18" s="1">
        <v>-210.23802713610351</v>
      </c>
    </row>
    <row r="19" spans="1:15">
      <c r="A19" s="3">
        <v>44713</v>
      </c>
      <c r="B19" s="1">
        <v>38773.093978856137</v>
      </c>
      <c r="C19" s="1">
        <v>13570.58289259965</v>
      </c>
      <c r="D19" s="1">
        <v>7754.6187957712282</v>
      </c>
      <c r="E19" s="1">
        <v>15509.23759154246</v>
      </c>
      <c r="F19" s="1">
        <v>1938.654698942807</v>
      </c>
      <c r="G19" s="2">
        <v>15000</v>
      </c>
      <c r="H19" s="2">
        <v>2000</v>
      </c>
      <c r="I19" s="2">
        <v>800</v>
      </c>
      <c r="J19" s="2">
        <v>300</v>
      </c>
      <c r="K19" s="1">
        <v>11631.92819365684</v>
      </c>
      <c r="L19" s="1">
        <v>5815.9640968284202</v>
      </c>
      <c r="M19" s="1">
        <v>35547.892290485259</v>
      </c>
      <c r="N19" s="1">
        <v>3225.2016883708779</v>
      </c>
      <c r="O19" s="1">
        <v>3014.9636612347749</v>
      </c>
    </row>
    <row r="20" spans="1:15">
      <c r="A20" s="3">
        <v>44743</v>
      </c>
      <c r="B20" s="1">
        <v>37227.235743861769</v>
      </c>
      <c r="C20" s="1">
        <v>13029.532510351621</v>
      </c>
      <c r="D20" s="1">
        <v>7445.447148772354</v>
      </c>
      <c r="E20" s="1">
        <v>14890.89429754471</v>
      </c>
      <c r="F20" s="1">
        <v>1861.361787193089</v>
      </c>
      <c r="G20" s="2">
        <v>15000</v>
      </c>
      <c r="H20" s="2">
        <v>2000</v>
      </c>
      <c r="I20" s="2">
        <v>800</v>
      </c>
      <c r="J20" s="2">
        <v>300</v>
      </c>
      <c r="K20" s="1">
        <v>11168.17072315853</v>
      </c>
      <c r="L20" s="1">
        <v>5584.0853615792648</v>
      </c>
      <c r="M20" s="1">
        <v>34852.256084737797</v>
      </c>
      <c r="N20" s="1">
        <v>2374.9796591239719</v>
      </c>
      <c r="O20" s="1">
        <v>5389.9433203587469</v>
      </c>
    </row>
    <row r="21" spans="1:15">
      <c r="A21" s="3">
        <v>44774</v>
      </c>
      <c r="B21" s="1">
        <v>35685.744340039702</v>
      </c>
      <c r="C21" s="1">
        <v>12490.010519013889</v>
      </c>
      <c r="D21" s="1">
        <v>7137.1488680079392</v>
      </c>
      <c r="E21" s="1">
        <v>14274.29773601588</v>
      </c>
      <c r="F21" s="1">
        <v>1784.287217001985</v>
      </c>
      <c r="G21" s="2">
        <v>15000</v>
      </c>
      <c r="H21" s="2">
        <v>2000</v>
      </c>
      <c r="I21" s="2">
        <v>800</v>
      </c>
      <c r="J21" s="2">
        <v>300</v>
      </c>
      <c r="K21" s="1">
        <v>10705.723302011909</v>
      </c>
      <c r="L21" s="1">
        <v>5352.8616510059537</v>
      </c>
      <c r="M21" s="1">
        <v>34158.58495301786</v>
      </c>
      <c r="N21" s="1">
        <v>1527.1593870218351</v>
      </c>
      <c r="O21" s="1">
        <v>6917.1027073805817</v>
      </c>
    </row>
    <row r="22" spans="1:15">
      <c r="A22" s="3">
        <v>44805</v>
      </c>
      <c r="B22" s="1">
        <v>34148.619767389922</v>
      </c>
      <c r="C22" s="1">
        <v>11952.016918586471</v>
      </c>
      <c r="D22" s="1">
        <v>6829.7239534779837</v>
      </c>
      <c r="E22" s="1">
        <v>13659.447906955969</v>
      </c>
      <c r="F22" s="1">
        <v>1707.4309883694959</v>
      </c>
      <c r="G22" s="2">
        <v>15000</v>
      </c>
      <c r="H22" s="2">
        <v>2000</v>
      </c>
      <c r="I22" s="2">
        <v>800</v>
      </c>
      <c r="J22" s="2">
        <v>300</v>
      </c>
      <c r="K22" s="1">
        <v>10244.58593021697</v>
      </c>
      <c r="L22" s="1">
        <v>5122.2929651084869</v>
      </c>
      <c r="M22" s="1">
        <v>33466.878895325463</v>
      </c>
      <c r="N22" s="1">
        <v>681.74087206445256</v>
      </c>
      <c r="O22" s="1">
        <v>7598.8435794450343</v>
      </c>
    </row>
    <row r="23" spans="1:15">
      <c r="A23" s="3">
        <v>44835</v>
      </c>
      <c r="B23" s="1">
        <v>32615.86202591244</v>
      </c>
      <c r="C23" s="1">
        <v>11415.55170906935</v>
      </c>
      <c r="D23" s="1">
        <v>6523.1724051824885</v>
      </c>
      <c r="E23" s="1">
        <v>13046.344810364981</v>
      </c>
      <c r="F23" s="1">
        <v>1630.7931012956219</v>
      </c>
      <c r="G23" s="2">
        <v>15000</v>
      </c>
      <c r="H23" s="2">
        <v>2000</v>
      </c>
      <c r="I23" s="2">
        <v>800</v>
      </c>
      <c r="J23" s="2">
        <v>300</v>
      </c>
      <c r="K23" s="1">
        <v>9784.7586077737324</v>
      </c>
      <c r="L23" s="1">
        <v>4892.3793038868662</v>
      </c>
      <c r="M23" s="1">
        <v>32777.137911660597</v>
      </c>
      <c r="N23" s="1">
        <v>-161.27588574815309</v>
      </c>
      <c r="O23" s="1">
        <v>7437.5676936968812</v>
      </c>
    </row>
    <row r="24" spans="1:15">
      <c r="A24" s="3">
        <v>44866</v>
      </c>
      <c r="B24" s="1">
        <v>29607.115348197389</v>
      </c>
      <c r="C24" s="1">
        <v>10362.490371869089</v>
      </c>
      <c r="D24" s="1">
        <v>5921.4230696394789</v>
      </c>
      <c r="E24" s="1">
        <v>11842.84613927896</v>
      </c>
      <c r="F24" s="1">
        <v>1480.3557674098699</v>
      </c>
      <c r="G24" s="2">
        <v>15000</v>
      </c>
      <c r="H24" s="2">
        <v>2000</v>
      </c>
      <c r="I24" s="2">
        <v>800</v>
      </c>
      <c r="J24" s="2">
        <v>300</v>
      </c>
      <c r="K24" s="1">
        <v>8882.1346044592174</v>
      </c>
      <c r="L24" s="1">
        <v>4441.0673022296087</v>
      </c>
      <c r="M24" s="1">
        <v>31423.201906688821</v>
      </c>
      <c r="N24" s="1">
        <v>-1816.086558491432</v>
      </c>
      <c r="O24" s="1">
        <v>5621.4811352054494</v>
      </c>
    </row>
    <row r="25" spans="1:15">
      <c r="A25" s="3">
        <v>44896</v>
      </c>
      <c r="B25" s="1">
        <v>26607.102332826951</v>
      </c>
      <c r="C25" s="1">
        <v>9312.4858164894304</v>
      </c>
      <c r="D25" s="1">
        <v>5321.4204665653897</v>
      </c>
      <c r="E25" s="1">
        <v>10642.840933130779</v>
      </c>
      <c r="F25" s="1">
        <v>1330.355116641347</v>
      </c>
      <c r="G25" s="2">
        <v>15000</v>
      </c>
      <c r="H25" s="2">
        <v>2000</v>
      </c>
      <c r="I25" s="2">
        <v>800</v>
      </c>
      <c r="J25" s="2">
        <v>300</v>
      </c>
      <c r="K25" s="1">
        <v>7982.1306998480841</v>
      </c>
      <c r="L25" s="1">
        <v>3991.065349924042</v>
      </c>
      <c r="M25" s="1">
        <v>30073.19604977213</v>
      </c>
      <c r="N25" s="1">
        <v>-3466.093716945179</v>
      </c>
      <c r="O25" s="1">
        <v>2155.3874182602699</v>
      </c>
    </row>
    <row r="26" spans="1:15">
      <c r="A26" s="3">
        <v>44927</v>
      </c>
      <c r="B26" s="1">
        <v>29519.778724751381</v>
      </c>
      <c r="C26" s="1">
        <v>10331.92255366298</v>
      </c>
      <c r="D26" s="1">
        <v>5903.9557449502763</v>
      </c>
      <c r="E26" s="1">
        <v>11807.911489900551</v>
      </c>
      <c r="F26" s="1">
        <v>1475.9889362375691</v>
      </c>
      <c r="G26" s="2">
        <v>15000</v>
      </c>
      <c r="H26" s="2">
        <v>2000</v>
      </c>
      <c r="I26" s="2">
        <v>800</v>
      </c>
      <c r="J26" s="2">
        <v>300</v>
      </c>
      <c r="K26" s="1">
        <v>8855.9336174254131</v>
      </c>
      <c r="L26" s="1">
        <v>4427.9668087127066</v>
      </c>
      <c r="M26" s="1">
        <v>31383.90042613812</v>
      </c>
      <c r="N26" s="1">
        <v>-1864.121701386739</v>
      </c>
      <c r="O26" s="1">
        <v>291.26571687353129</v>
      </c>
    </row>
    <row r="27" spans="1:15">
      <c r="A27" s="3">
        <v>44958</v>
      </c>
      <c r="B27" s="1">
        <v>28002.30489237696</v>
      </c>
      <c r="C27" s="1">
        <v>9800.8067123319342</v>
      </c>
      <c r="D27" s="1">
        <v>5600.460978475392</v>
      </c>
      <c r="E27" s="1">
        <v>11200.92195695078</v>
      </c>
      <c r="F27" s="1">
        <v>1400.115244618848</v>
      </c>
      <c r="G27" s="2">
        <v>15000</v>
      </c>
      <c r="H27" s="2">
        <v>2000</v>
      </c>
      <c r="I27" s="2">
        <v>800</v>
      </c>
      <c r="J27" s="2">
        <v>300</v>
      </c>
      <c r="K27" s="1">
        <v>8400.6914677130862</v>
      </c>
      <c r="L27" s="1">
        <v>4200.3457338565431</v>
      </c>
      <c r="M27" s="1">
        <v>30701.03720156963</v>
      </c>
      <c r="N27" s="1">
        <v>-2698.7323091926701</v>
      </c>
      <c r="O27" s="1">
        <v>-2407.4665923191392</v>
      </c>
    </row>
    <row r="28" spans="1:15">
      <c r="A28" s="3">
        <v>44986</v>
      </c>
      <c r="B28" s="1">
        <v>30904.06420637064</v>
      </c>
      <c r="C28" s="1">
        <v>10816.42247222972</v>
      </c>
      <c r="D28" s="1">
        <v>6180.8128412741289</v>
      </c>
      <c r="E28" s="1">
        <v>12361.62568254826</v>
      </c>
      <c r="F28" s="1">
        <v>1545.203210318532</v>
      </c>
      <c r="G28" s="2">
        <v>15000</v>
      </c>
      <c r="H28" s="2">
        <v>2000</v>
      </c>
      <c r="I28" s="2">
        <v>800</v>
      </c>
      <c r="J28" s="2">
        <v>300</v>
      </c>
      <c r="K28" s="1">
        <v>9271.219261911192</v>
      </c>
      <c r="L28" s="1">
        <v>4635.609630955596</v>
      </c>
      <c r="M28" s="1">
        <v>32006.82889286679</v>
      </c>
      <c r="N28" s="1">
        <v>-1102.7646864961459</v>
      </c>
      <c r="O28" s="1">
        <v>-3510.2312788152849</v>
      </c>
    </row>
    <row r="29" spans="1:15">
      <c r="A29" s="3">
        <v>45017</v>
      </c>
      <c r="B29" s="1">
        <v>32327.651168540611</v>
      </c>
      <c r="C29" s="1">
        <v>11314.67790898921</v>
      </c>
      <c r="D29" s="1">
        <v>6465.5302337081221</v>
      </c>
      <c r="E29" s="1">
        <v>12931.06046741624</v>
      </c>
      <c r="F29" s="1">
        <v>1616.382558427031</v>
      </c>
      <c r="G29" s="2">
        <v>15000</v>
      </c>
      <c r="H29" s="2">
        <v>2000</v>
      </c>
      <c r="I29" s="2">
        <v>800</v>
      </c>
      <c r="J29" s="2">
        <v>300</v>
      </c>
      <c r="K29" s="1">
        <v>9698.2953505621826</v>
      </c>
      <c r="L29" s="1">
        <v>4849.1476752810913</v>
      </c>
      <c r="M29" s="1">
        <v>32647.44302584328</v>
      </c>
      <c r="N29" s="1">
        <v>-319.79185730266909</v>
      </c>
      <c r="O29" s="1">
        <v>-3830.023136117954</v>
      </c>
    </row>
    <row r="30" spans="1:15">
      <c r="A30" s="3">
        <v>45047</v>
      </c>
      <c r="B30" s="1">
        <v>35214.12657343124</v>
      </c>
      <c r="C30" s="1">
        <v>12324.94430070093</v>
      </c>
      <c r="D30" s="1">
        <v>7042.825314686248</v>
      </c>
      <c r="E30" s="1">
        <v>14085.6506293725</v>
      </c>
      <c r="F30" s="1">
        <v>1760.706328671562</v>
      </c>
      <c r="G30" s="2">
        <v>15000</v>
      </c>
      <c r="H30" s="2">
        <v>2000</v>
      </c>
      <c r="I30" s="2">
        <v>800</v>
      </c>
      <c r="J30" s="2">
        <v>300</v>
      </c>
      <c r="K30" s="1">
        <v>10564.23797202937</v>
      </c>
      <c r="L30" s="1">
        <v>5282.118986014686</v>
      </c>
      <c r="M30" s="1">
        <v>33946.35695804406</v>
      </c>
      <c r="N30" s="1">
        <v>1267.76961538718</v>
      </c>
      <c r="O30" s="1">
        <v>-2562.2535207307742</v>
      </c>
    </row>
    <row r="31" spans="1:15">
      <c r="A31" s="3">
        <v>45078</v>
      </c>
      <c r="B31" s="1">
        <v>38091.868315977263</v>
      </c>
      <c r="C31" s="1">
        <v>13332.15391059204</v>
      </c>
      <c r="D31" s="1">
        <v>7618.3736631954534</v>
      </c>
      <c r="E31" s="1">
        <v>15236.747326390911</v>
      </c>
      <c r="F31" s="1">
        <v>1904.5934157988629</v>
      </c>
      <c r="G31" s="2">
        <v>15000</v>
      </c>
      <c r="H31" s="2">
        <v>2000</v>
      </c>
      <c r="I31" s="2">
        <v>800</v>
      </c>
      <c r="J31" s="2">
        <v>300</v>
      </c>
      <c r="K31" s="1">
        <v>11427.560494793181</v>
      </c>
      <c r="L31" s="1">
        <v>5713.7802473965894</v>
      </c>
      <c r="M31" s="1">
        <v>35241.340742189772</v>
      </c>
      <c r="N31" s="1">
        <v>2850.5275737874908</v>
      </c>
      <c r="O31" s="1">
        <v>288.27405305671709</v>
      </c>
    </row>
    <row r="32" spans="1:15">
      <c r="A32" s="3">
        <v>45108</v>
      </c>
      <c r="B32" s="1">
        <v>36572.211068016702</v>
      </c>
      <c r="C32" s="1">
        <v>12800.27387380584</v>
      </c>
      <c r="D32" s="1">
        <v>7314.442213603339</v>
      </c>
      <c r="E32" s="1">
        <v>14628.88442720668</v>
      </c>
      <c r="F32" s="1">
        <v>1828.610553400835</v>
      </c>
      <c r="G32" s="2">
        <v>15000</v>
      </c>
      <c r="H32" s="2">
        <v>2000</v>
      </c>
      <c r="I32" s="2">
        <v>800</v>
      </c>
      <c r="J32" s="2">
        <v>300</v>
      </c>
      <c r="K32" s="1">
        <v>10971.66332040501</v>
      </c>
      <c r="L32" s="1">
        <v>5485.8316602025043</v>
      </c>
      <c r="M32" s="1">
        <v>34557.494980607516</v>
      </c>
      <c r="N32" s="1">
        <v>2014.716087409179</v>
      </c>
      <c r="O32" s="1">
        <v>2302.9901404658958</v>
      </c>
    </row>
    <row r="33" spans="1:15">
      <c r="A33" s="3">
        <v>45139</v>
      </c>
      <c r="B33" s="1">
        <v>35056.920651228407</v>
      </c>
      <c r="C33" s="1">
        <v>12269.922227929939</v>
      </c>
      <c r="D33" s="1">
        <v>7011.3841302456831</v>
      </c>
      <c r="E33" s="1">
        <v>14022.76826049137</v>
      </c>
      <c r="F33" s="1">
        <v>1752.846032561421</v>
      </c>
      <c r="G33" s="2">
        <v>15000</v>
      </c>
      <c r="H33" s="2">
        <v>2000</v>
      </c>
      <c r="I33" s="2">
        <v>800</v>
      </c>
      <c r="J33" s="2">
        <v>300</v>
      </c>
      <c r="K33" s="1">
        <v>10517.07619536852</v>
      </c>
      <c r="L33" s="1">
        <v>5258.5380976842616</v>
      </c>
      <c r="M33" s="1">
        <v>33875.614293052793</v>
      </c>
      <c r="N33" s="1">
        <v>1181.3063581756289</v>
      </c>
      <c r="O33" s="1">
        <v>3484.296498641525</v>
      </c>
    </row>
    <row r="34" spans="1:15">
      <c r="A34" s="3">
        <v>45170</v>
      </c>
      <c r="B34" s="1">
        <v>33545.997065612442</v>
      </c>
      <c r="C34" s="1">
        <v>11741.09897296435</v>
      </c>
      <c r="D34" s="1">
        <v>6709.1994131224892</v>
      </c>
      <c r="E34" s="1">
        <v>13418.39882624498</v>
      </c>
      <c r="F34" s="1">
        <v>1677.2998532806221</v>
      </c>
      <c r="G34" s="2">
        <v>15000</v>
      </c>
      <c r="H34" s="2">
        <v>2000</v>
      </c>
      <c r="I34" s="2">
        <v>800</v>
      </c>
      <c r="J34" s="2">
        <v>300</v>
      </c>
      <c r="K34" s="1">
        <v>10063.79911968373</v>
      </c>
      <c r="L34" s="1">
        <v>5031.899559841866</v>
      </c>
      <c r="M34" s="1">
        <v>33195.698679525587</v>
      </c>
      <c r="N34" s="1">
        <v>350.29838608684798</v>
      </c>
      <c r="O34" s="1">
        <v>3834.594884728373</v>
      </c>
    </row>
    <row r="35" spans="1:15">
      <c r="A35" s="3">
        <v>45200</v>
      </c>
      <c r="B35" s="1">
        <v>32039.440311168779</v>
      </c>
      <c r="C35" s="1">
        <v>11213.804108909069</v>
      </c>
      <c r="D35" s="1">
        <v>6407.8880622337556</v>
      </c>
      <c r="E35" s="1">
        <v>12815.776124467509</v>
      </c>
      <c r="F35" s="1">
        <v>1601.9720155584389</v>
      </c>
      <c r="G35" s="2">
        <v>15000</v>
      </c>
      <c r="H35" s="2">
        <v>2000</v>
      </c>
      <c r="I35" s="2">
        <v>800</v>
      </c>
      <c r="J35" s="2">
        <v>300</v>
      </c>
      <c r="K35" s="1">
        <v>9611.8320933506329</v>
      </c>
      <c r="L35" s="1">
        <v>4805.9160466753156</v>
      </c>
      <c r="M35" s="1">
        <v>32517.748140025949</v>
      </c>
      <c r="N35" s="1">
        <v>-478.30782885717417</v>
      </c>
      <c r="O35" s="1">
        <v>3356.2870558711979</v>
      </c>
    </row>
    <row r="36" spans="1:15">
      <c r="A36" s="3">
        <v>45231</v>
      </c>
      <c r="B36" s="1">
        <v>29083.095607521329</v>
      </c>
      <c r="C36" s="1">
        <v>10179.083462632459</v>
      </c>
      <c r="D36" s="1">
        <v>5816.6191215042672</v>
      </c>
      <c r="E36" s="1">
        <v>11633.238243008531</v>
      </c>
      <c r="F36" s="1">
        <v>1454.154780376067</v>
      </c>
      <c r="G36" s="2">
        <v>15000</v>
      </c>
      <c r="H36" s="2">
        <v>2000</v>
      </c>
      <c r="I36" s="2">
        <v>800</v>
      </c>
      <c r="J36" s="2">
        <v>300</v>
      </c>
      <c r="K36" s="1">
        <v>8724.928682256399</v>
      </c>
      <c r="L36" s="1">
        <v>4362.4643411282004</v>
      </c>
      <c r="M36" s="1">
        <v>31187.3930233846</v>
      </c>
      <c r="N36" s="1">
        <v>-2104.2974158632642</v>
      </c>
      <c r="O36" s="1">
        <v>1251.989640007934</v>
      </c>
    </row>
    <row r="37" spans="1:15">
      <c r="A37" s="3">
        <v>45261</v>
      </c>
      <c r="B37" s="1">
        <v>26135.484566218489</v>
      </c>
      <c r="C37" s="1">
        <v>9147.4195981764715</v>
      </c>
      <c r="D37" s="1">
        <v>5227.0969132436994</v>
      </c>
      <c r="E37" s="1">
        <v>10454.193826487401</v>
      </c>
      <c r="F37" s="1">
        <v>1306.7742283109251</v>
      </c>
      <c r="G37" s="2">
        <v>15000</v>
      </c>
      <c r="H37" s="2">
        <v>2000</v>
      </c>
      <c r="I37" s="2">
        <v>800</v>
      </c>
      <c r="J37" s="2">
        <v>300</v>
      </c>
      <c r="K37" s="1">
        <v>7840.6453698655478</v>
      </c>
      <c r="L37" s="1">
        <v>3920.3226849327739</v>
      </c>
      <c r="M37" s="1">
        <v>29860.968054798319</v>
      </c>
      <c r="N37" s="1">
        <v>-3725.4834885798259</v>
      </c>
      <c r="O37" s="1">
        <v>-2473.4938485718922</v>
      </c>
    </row>
  </sheetData>
  <pageMargins left="0.7" right="0.7" top="0.75" bottom="0.75" header="0.3" footer="0.3"/>
  <headerFooter>
    <oddHeader>&amp;R&amp;"Calibri"&amp;10&amp;K000000 #interna&amp;1#_x000D_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5C00-6320-4956-9E2A-D66713AFCB99}">
  <dimension ref="A1:O37"/>
  <sheetViews>
    <sheetView workbookViewId="0">
      <selection activeCell="A2" sqref="A2"/>
    </sheetView>
  </sheetViews>
  <sheetFormatPr defaultRowHeight="14.45"/>
  <cols>
    <col min="1" max="1" width="18" bestFit="1" customWidth="1"/>
    <col min="2" max="2" width="12.28515625" bestFit="1" customWidth="1"/>
    <col min="3" max="3" width="17.85546875" customWidth="1"/>
    <col min="4" max="4" width="14.28515625" customWidth="1"/>
    <col min="5" max="5" width="12.5703125" customWidth="1"/>
    <col min="6" max="6" width="16.7109375" customWidth="1"/>
    <col min="7" max="7" width="15.140625" customWidth="1"/>
    <col min="8" max="8" width="12.42578125" customWidth="1"/>
    <col min="9" max="9" width="12.28515625" customWidth="1"/>
    <col min="10" max="10" width="10.28515625" customWidth="1"/>
    <col min="11" max="11" width="15.28515625" customWidth="1"/>
    <col min="12" max="12" width="15.7109375" customWidth="1"/>
    <col min="13" max="13" width="13.7109375" customWidth="1"/>
    <col min="14" max="14" width="12.42578125" bestFit="1" customWidth="1"/>
    <col min="15" max="15" width="16.140625" bestFit="1" customWidth="1"/>
  </cols>
  <sheetData>
    <row r="1" spans="1:15" ht="28.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3">
        <v>44197</v>
      </c>
      <c r="B2" s="1">
        <v>888062.15673808695</v>
      </c>
      <c r="C2" s="1">
        <v>44403.107836904353</v>
      </c>
      <c r="D2" s="1">
        <v>577240.4018797566</v>
      </c>
      <c r="E2" s="1">
        <v>222015.53918452171</v>
      </c>
      <c r="F2" s="1">
        <v>44403.107836904353</v>
      </c>
      <c r="G2" s="2">
        <v>150000</v>
      </c>
      <c r="H2" s="2">
        <v>5000</v>
      </c>
      <c r="I2" s="2">
        <v>1500</v>
      </c>
      <c r="J2" s="2">
        <v>500</v>
      </c>
      <c r="K2" s="1">
        <v>266418.64702142612</v>
      </c>
      <c r="L2" s="1">
        <v>133209.323510713</v>
      </c>
      <c r="M2" s="1">
        <v>556627.97053213906</v>
      </c>
      <c r="N2" s="1">
        <v>331434.18620594789</v>
      </c>
      <c r="O2" s="1">
        <v>331434.18620594789</v>
      </c>
    </row>
    <row r="3" spans="1:15">
      <c r="A3" s="3">
        <v>44228</v>
      </c>
      <c r="B3" s="1">
        <v>840043.36726303468</v>
      </c>
      <c r="C3" s="1">
        <v>42002.168363151737</v>
      </c>
      <c r="D3" s="1">
        <v>546028.18872097251</v>
      </c>
      <c r="E3" s="1">
        <v>210010.8418157587</v>
      </c>
      <c r="F3" s="1">
        <v>42002.168363151737</v>
      </c>
      <c r="G3" s="2">
        <v>150000</v>
      </c>
      <c r="H3" s="2">
        <v>5000</v>
      </c>
      <c r="I3" s="2">
        <v>1500</v>
      </c>
      <c r="J3" s="2">
        <v>500</v>
      </c>
      <c r="K3" s="1">
        <v>252013.01017891039</v>
      </c>
      <c r="L3" s="1">
        <v>126006.5050894552</v>
      </c>
      <c r="M3" s="1">
        <v>535019.51526836562</v>
      </c>
      <c r="N3" s="1">
        <v>305023.85199466912</v>
      </c>
      <c r="O3" s="1">
        <v>636458.03820061695</v>
      </c>
    </row>
    <row r="4" spans="1:15">
      <c r="A4" s="3">
        <v>44256</v>
      </c>
      <c r="B4" s="1">
        <v>924472.70516434847</v>
      </c>
      <c r="C4" s="1">
        <v>46223.63525821743</v>
      </c>
      <c r="D4" s="1">
        <v>600907.2583568265</v>
      </c>
      <c r="E4" s="1">
        <v>231118.17629108709</v>
      </c>
      <c r="F4" s="1">
        <v>46223.63525821743</v>
      </c>
      <c r="G4" s="2">
        <v>150000</v>
      </c>
      <c r="H4" s="2">
        <v>5000</v>
      </c>
      <c r="I4" s="2">
        <v>1500</v>
      </c>
      <c r="J4" s="2">
        <v>500</v>
      </c>
      <c r="K4" s="1">
        <v>277341.81154930452</v>
      </c>
      <c r="L4" s="1">
        <v>138670.90577465229</v>
      </c>
      <c r="M4" s="1">
        <v>573012.71732395678</v>
      </c>
      <c r="N4" s="1">
        <v>351459.9878403917</v>
      </c>
      <c r="O4" s="1">
        <v>987918.02604100865</v>
      </c>
    </row>
    <row r="5" spans="1:15">
      <c r="A5" s="3">
        <v>44287</v>
      </c>
      <c r="B5" s="1">
        <v>964308.63619517139</v>
      </c>
      <c r="C5" s="1">
        <v>48215.431809758571</v>
      </c>
      <c r="D5" s="1">
        <v>626800.61352686142</v>
      </c>
      <c r="E5" s="1">
        <v>241077.15904879279</v>
      </c>
      <c r="F5" s="1">
        <v>48215.431809758571</v>
      </c>
      <c r="G5" s="2">
        <v>150000</v>
      </c>
      <c r="H5" s="2">
        <v>5000</v>
      </c>
      <c r="I5" s="2">
        <v>1500</v>
      </c>
      <c r="J5" s="2">
        <v>500</v>
      </c>
      <c r="K5" s="1">
        <v>289292.59085855138</v>
      </c>
      <c r="L5" s="1">
        <v>144646.29542927569</v>
      </c>
      <c r="M5" s="1">
        <v>590938.88628782704</v>
      </c>
      <c r="N5" s="1">
        <v>373369.74990734429</v>
      </c>
      <c r="O5" s="1">
        <v>1361287.7759483531</v>
      </c>
    </row>
    <row r="6" spans="1:15">
      <c r="A6" s="3">
        <v>44317</v>
      </c>
      <c r="B6" s="1">
        <v>1047405.880861378</v>
      </c>
      <c r="C6" s="1">
        <v>52370.294043068898</v>
      </c>
      <c r="D6" s="1">
        <v>680813.82255989569</v>
      </c>
      <c r="E6" s="1">
        <v>261851.47021534451</v>
      </c>
      <c r="F6" s="1">
        <v>52370.294043068898</v>
      </c>
      <c r="G6" s="2">
        <v>150000</v>
      </c>
      <c r="H6" s="2">
        <v>5000</v>
      </c>
      <c r="I6" s="2">
        <v>1500</v>
      </c>
      <c r="J6" s="2">
        <v>500</v>
      </c>
      <c r="K6" s="1">
        <v>314221.76425841328</v>
      </c>
      <c r="L6" s="1">
        <v>157110.8821292067</v>
      </c>
      <c r="M6" s="1">
        <v>628332.64638762001</v>
      </c>
      <c r="N6" s="1">
        <v>419073.23447375791</v>
      </c>
      <c r="O6" s="1">
        <v>1780361.010422111</v>
      </c>
    </row>
    <row r="7" spans="1:15">
      <c r="A7" s="3">
        <v>44348</v>
      </c>
      <c r="B7" s="1">
        <v>1129741.9293932379</v>
      </c>
      <c r="C7" s="1">
        <v>56487.096469661898</v>
      </c>
      <c r="D7" s="1">
        <v>734332.25410560472</v>
      </c>
      <c r="E7" s="1">
        <v>282435.48234830948</v>
      </c>
      <c r="F7" s="1">
        <v>56487.096469661898</v>
      </c>
      <c r="G7" s="2">
        <v>150000</v>
      </c>
      <c r="H7" s="2">
        <v>5000</v>
      </c>
      <c r="I7" s="2">
        <v>1500</v>
      </c>
      <c r="J7" s="2">
        <v>500</v>
      </c>
      <c r="K7" s="1">
        <v>338922.57881797128</v>
      </c>
      <c r="L7" s="1">
        <v>169461.2894089857</v>
      </c>
      <c r="M7" s="1">
        <v>665383.86822695704</v>
      </c>
      <c r="N7" s="1">
        <v>464358.06116628088</v>
      </c>
      <c r="O7" s="1">
        <v>2244719.0715883919</v>
      </c>
    </row>
    <row r="8" spans="1:15">
      <c r="A8" s="3">
        <v>44378</v>
      </c>
      <c r="B8" s="1">
        <v>1081532.8408845989</v>
      </c>
      <c r="C8" s="1">
        <v>54076.64204422995</v>
      </c>
      <c r="D8" s="1">
        <v>702996.34657498926</v>
      </c>
      <c r="E8" s="1">
        <v>270383.21022114973</v>
      </c>
      <c r="F8" s="1">
        <v>54076.64204422995</v>
      </c>
      <c r="G8" s="2">
        <v>150000</v>
      </c>
      <c r="H8" s="2">
        <v>5000</v>
      </c>
      <c r="I8" s="2">
        <v>1500</v>
      </c>
      <c r="J8" s="2">
        <v>500</v>
      </c>
      <c r="K8" s="1">
        <v>324459.85226537968</v>
      </c>
      <c r="L8" s="1">
        <v>162229.92613268981</v>
      </c>
      <c r="M8" s="1">
        <v>643689.77839806955</v>
      </c>
      <c r="N8" s="1">
        <v>437843.06248652941</v>
      </c>
      <c r="O8" s="1">
        <v>2682562.1340749208</v>
      </c>
    </row>
    <row r="9" spans="1:15">
      <c r="A9" s="3">
        <v>44409</v>
      </c>
      <c r="B9" s="1">
        <v>1033704.350443133</v>
      </c>
      <c r="C9" s="1">
        <v>51685.217522156658</v>
      </c>
      <c r="D9" s="1">
        <v>671907.82778803655</v>
      </c>
      <c r="E9" s="1">
        <v>258426.08761078329</v>
      </c>
      <c r="F9" s="1">
        <v>51685.217522156658</v>
      </c>
      <c r="G9" s="2">
        <v>150000</v>
      </c>
      <c r="H9" s="2">
        <v>5000</v>
      </c>
      <c r="I9" s="2">
        <v>1500</v>
      </c>
      <c r="J9" s="2">
        <v>500</v>
      </c>
      <c r="K9" s="1">
        <v>310111.30513293989</v>
      </c>
      <c r="L9" s="1">
        <v>155055.65256646989</v>
      </c>
      <c r="M9" s="1">
        <v>622166.9576994098</v>
      </c>
      <c r="N9" s="1">
        <v>411537.39274372318</v>
      </c>
      <c r="O9" s="1">
        <v>3094099.5268186438</v>
      </c>
    </row>
    <row r="10" spans="1:15">
      <c r="A10" s="3">
        <v>44440</v>
      </c>
      <c r="B10" s="1">
        <v>986256.45806884102</v>
      </c>
      <c r="C10" s="1">
        <v>49312.822903442051</v>
      </c>
      <c r="D10" s="1">
        <v>641066.69774474669</v>
      </c>
      <c r="E10" s="1">
        <v>246564.11451721031</v>
      </c>
      <c r="F10" s="1">
        <v>49312.822903442051</v>
      </c>
      <c r="G10" s="2">
        <v>150000</v>
      </c>
      <c r="H10" s="2">
        <v>5000</v>
      </c>
      <c r="I10" s="2">
        <v>1500</v>
      </c>
      <c r="J10" s="2">
        <v>500</v>
      </c>
      <c r="K10" s="1">
        <v>295876.93742065231</v>
      </c>
      <c r="L10" s="1">
        <v>147938.46871032621</v>
      </c>
      <c r="M10" s="1">
        <v>600815.40613097849</v>
      </c>
      <c r="N10" s="1">
        <v>385441.05193786247</v>
      </c>
      <c r="O10" s="1">
        <v>3479540.578756507</v>
      </c>
    </row>
    <row r="11" spans="1:15">
      <c r="A11" s="3">
        <v>44470</v>
      </c>
      <c r="B11" s="1">
        <v>939189.16376172262</v>
      </c>
      <c r="C11" s="1">
        <v>46959.458188086137</v>
      </c>
      <c r="D11" s="1">
        <v>610472.95644511969</v>
      </c>
      <c r="E11" s="1">
        <v>234797.29094043071</v>
      </c>
      <c r="F11" s="1">
        <v>46959.458188086137</v>
      </c>
      <c r="G11" s="2">
        <v>150000</v>
      </c>
      <c r="H11" s="2">
        <v>5000</v>
      </c>
      <c r="I11" s="2">
        <v>1500</v>
      </c>
      <c r="J11" s="2">
        <v>500</v>
      </c>
      <c r="K11" s="1">
        <v>281756.74912851682</v>
      </c>
      <c r="L11" s="1">
        <v>140878.37456425841</v>
      </c>
      <c r="M11" s="1">
        <v>579635.12369277515</v>
      </c>
      <c r="N11" s="1">
        <v>359554.04006894748</v>
      </c>
      <c r="O11" s="1">
        <v>3839094.6188254538</v>
      </c>
    </row>
    <row r="12" spans="1:15">
      <c r="A12" s="3">
        <v>44501</v>
      </c>
      <c r="B12" s="1">
        <v>850002.35002074041</v>
      </c>
      <c r="C12" s="1">
        <v>42500.117501037021</v>
      </c>
      <c r="D12" s="1">
        <v>552501.52751348133</v>
      </c>
      <c r="E12" s="1">
        <v>212500.5875051851</v>
      </c>
      <c r="F12" s="1">
        <v>42500.117501037021</v>
      </c>
      <c r="G12" s="2">
        <v>150000</v>
      </c>
      <c r="H12" s="2">
        <v>5000</v>
      </c>
      <c r="I12" s="2">
        <v>1500</v>
      </c>
      <c r="J12" s="2">
        <v>500</v>
      </c>
      <c r="K12" s="1">
        <v>255000.7050062221</v>
      </c>
      <c r="L12" s="1">
        <v>127500.35250311111</v>
      </c>
      <c r="M12" s="1">
        <v>539501.05750933313</v>
      </c>
      <c r="N12" s="1">
        <v>310501.29251140729</v>
      </c>
      <c r="O12" s="1">
        <v>4149595.911336862</v>
      </c>
    </row>
    <row r="13" spans="1:15">
      <c r="A13" s="3">
        <v>44531</v>
      </c>
      <c r="B13" s="1">
        <v>761576.73241410509</v>
      </c>
      <c r="C13" s="1">
        <v>38078.836620705253</v>
      </c>
      <c r="D13" s="1">
        <v>495024.87606916833</v>
      </c>
      <c r="E13" s="1">
        <v>190394.1831035263</v>
      </c>
      <c r="F13" s="1">
        <v>38078.836620705253</v>
      </c>
      <c r="G13" s="2">
        <v>150000</v>
      </c>
      <c r="H13" s="2">
        <v>5000</v>
      </c>
      <c r="I13" s="2">
        <v>1500</v>
      </c>
      <c r="J13" s="2">
        <v>500</v>
      </c>
      <c r="K13" s="1">
        <v>228473.0197242315</v>
      </c>
      <c r="L13" s="1">
        <v>114236.5098621158</v>
      </c>
      <c r="M13" s="1">
        <v>499709.52958634729</v>
      </c>
      <c r="N13" s="1">
        <v>261867.20282775769</v>
      </c>
      <c r="O13" s="1">
        <v>4411463.1141646197</v>
      </c>
    </row>
    <row r="14" spans="1:15">
      <c r="A14" s="3">
        <v>44562</v>
      </c>
      <c r="B14" s="1">
        <v>842390.38867727108</v>
      </c>
      <c r="C14" s="1">
        <v>42119.519433863563</v>
      </c>
      <c r="D14" s="1">
        <v>547553.75264022627</v>
      </c>
      <c r="E14" s="1">
        <v>210597.5971693178</v>
      </c>
      <c r="F14" s="1">
        <v>42119.519433863563</v>
      </c>
      <c r="G14" s="2">
        <v>150000</v>
      </c>
      <c r="H14" s="2">
        <v>5000</v>
      </c>
      <c r="I14" s="2">
        <v>1500</v>
      </c>
      <c r="J14" s="2">
        <v>500</v>
      </c>
      <c r="K14" s="1">
        <v>252717.11660318129</v>
      </c>
      <c r="L14" s="1">
        <v>126358.5583015907</v>
      </c>
      <c r="M14" s="1">
        <v>536075.67490477196</v>
      </c>
      <c r="N14" s="1">
        <v>306314.71377249912</v>
      </c>
      <c r="O14" s="1">
        <v>4717777.8279371187</v>
      </c>
    </row>
    <row r="15" spans="1:15">
      <c r="A15" s="3">
        <v>44593</v>
      </c>
      <c r="B15" s="1">
        <v>796655.18760525959</v>
      </c>
      <c r="C15" s="1">
        <v>39832.759380262993</v>
      </c>
      <c r="D15" s="1">
        <v>517825.87194341881</v>
      </c>
      <c r="E15" s="1">
        <v>199163.7969013149</v>
      </c>
      <c r="F15" s="1">
        <v>39832.759380262993</v>
      </c>
      <c r="G15" s="2">
        <v>150000</v>
      </c>
      <c r="H15" s="2">
        <v>5000</v>
      </c>
      <c r="I15" s="2">
        <v>1500</v>
      </c>
      <c r="J15" s="2">
        <v>500</v>
      </c>
      <c r="K15" s="1">
        <v>238996.55628157791</v>
      </c>
      <c r="L15" s="1">
        <v>119498.2781407889</v>
      </c>
      <c r="M15" s="1">
        <v>515494.83442236681</v>
      </c>
      <c r="N15" s="1">
        <v>281160.35318289278</v>
      </c>
      <c r="O15" s="1">
        <v>4998938.181120012</v>
      </c>
    </row>
    <row r="16" spans="1:15">
      <c r="A16" s="3">
        <v>44621</v>
      </c>
      <c r="B16" s="1">
        <v>876517.34870049183</v>
      </c>
      <c r="C16" s="1">
        <v>43825.867435024593</v>
      </c>
      <c r="D16" s="1">
        <v>569736.27665531973</v>
      </c>
      <c r="E16" s="1">
        <v>219129.33717512299</v>
      </c>
      <c r="F16" s="1">
        <v>43825.867435024593</v>
      </c>
      <c r="G16" s="2">
        <v>150000</v>
      </c>
      <c r="H16" s="2">
        <v>5000</v>
      </c>
      <c r="I16" s="2">
        <v>1500</v>
      </c>
      <c r="J16" s="2">
        <v>500</v>
      </c>
      <c r="K16" s="1">
        <v>262955.20461014751</v>
      </c>
      <c r="L16" s="1">
        <v>131477.60230507379</v>
      </c>
      <c r="M16" s="1">
        <v>551432.80691522127</v>
      </c>
      <c r="N16" s="1">
        <v>325084.54178527062</v>
      </c>
      <c r="O16" s="1">
        <v>5324022.7229052829</v>
      </c>
    </row>
    <row r="17" spans="1:15">
      <c r="A17" s="3">
        <v>44652</v>
      </c>
      <c r="B17" s="1">
        <v>914069.69132827385</v>
      </c>
      <c r="C17" s="1">
        <v>45703.484566413703</v>
      </c>
      <c r="D17" s="1">
        <v>594145.29936337797</v>
      </c>
      <c r="E17" s="1">
        <v>228517.42283206849</v>
      </c>
      <c r="F17" s="1">
        <v>45703.484566413703</v>
      </c>
      <c r="G17" s="2">
        <v>150000</v>
      </c>
      <c r="H17" s="2">
        <v>5000</v>
      </c>
      <c r="I17" s="2">
        <v>1500</v>
      </c>
      <c r="J17" s="2">
        <v>500</v>
      </c>
      <c r="K17" s="1">
        <v>274220.90739848209</v>
      </c>
      <c r="L17" s="1">
        <v>137110.4536992411</v>
      </c>
      <c r="M17" s="1">
        <v>568331.36109772325</v>
      </c>
      <c r="N17" s="1">
        <v>345738.33023055061</v>
      </c>
      <c r="O17" s="1">
        <v>5669761.0531358337</v>
      </c>
    </row>
    <row r="18" spans="1:15">
      <c r="A18" s="3">
        <v>44682</v>
      </c>
      <c r="B18" s="1">
        <v>992599.75918839872</v>
      </c>
      <c r="C18" s="1">
        <v>49629.987959419937</v>
      </c>
      <c r="D18" s="1">
        <v>645189.84347245924</v>
      </c>
      <c r="E18" s="1">
        <v>248149.93979709971</v>
      </c>
      <c r="F18" s="1">
        <v>49629.987959419937</v>
      </c>
      <c r="G18" s="2">
        <v>150000</v>
      </c>
      <c r="H18" s="2">
        <v>5000</v>
      </c>
      <c r="I18" s="2">
        <v>1500</v>
      </c>
      <c r="J18" s="2">
        <v>500</v>
      </c>
      <c r="K18" s="1">
        <v>297779.92775651958</v>
      </c>
      <c r="L18" s="1">
        <v>148889.96387825979</v>
      </c>
      <c r="M18" s="1">
        <v>603669.8916347794</v>
      </c>
      <c r="N18" s="1">
        <v>388929.86755361932</v>
      </c>
      <c r="O18" s="1">
        <v>6058690.9206894534</v>
      </c>
    </row>
    <row r="19" spans="1:15">
      <c r="A19" s="3">
        <v>44713</v>
      </c>
      <c r="B19" s="1">
        <v>1070368.630914177</v>
      </c>
      <c r="C19" s="1">
        <v>53518.431545708867</v>
      </c>
      <c r="D19" s="1">
        <v>695739.61009421526</v>
      </c>
      <c r="E19" s="1">
        <v>267592.15772854432</v>
      </c>
      <c r="F19" s="1">
        <v>53518.431545708867</v>
      </c>
      <c r="G19" s="2">
        <v>150000</v>
      </c>
      <c r="H19" s="2">
        <v>5000</v>
      </c>
      <c r="I19" s="2">
        <v>1500</v>
      </c>
      <c r="J19" s="2">
        <v>500</v>
      </c>
      <c r="K19" s="1">
        <v>321110.58927425317</v>
      </c>
      <c r="L19" s="1">
        <v>160555.29463712659</v>
      </c>
      <c r="M19" s="1">
        <v>638665.88391137973</v>
      </c>
      <c r="N19" s="1">
        <v>431702.74700279761</v>
      </c>
      <c r="O19" s="1">
        <v>6490393.6676922506</v>
      </c>
    </row>
    <row r="20" spans="1:15">
      <c r="A20" s="3">
        <v>44743</v>
      </c>
      <c r="B20" s="1">
        <v>1024443.130808579</v>
      </c>
      <c r="C20" s="1">
        <v>51222.15654042895</v>
      </c>
      <c r="D20" s="1">
        <v>665888.03502557636</v>
      </c>
      <c r="E20" s="1">
        <v>256110.7827021447</v>
      </c>
      <c r="F20" s="1">
        <v>51222.15654042895</v>
      </c>
      <c r="G20" s="2">
        <v>150000</v>
      </c>
      <c r="H20" s="2">
        <v>5000</v>
      </c>
      <c r="I20" s="2">
        <v>1500</v>
      </c>
      <c r="J20" s="2">
        <v>500</v>
      </c>
      <c r="K20" s="1">
        <v>307332.93924257369</v>
      </c>
      <c r="L20" s="1">
        <v>153666.46962128679</v>
      </c>
      <c r="M20" s="1">
        <v>617999.40886386053</v>
      </c>
      <c r="N20" s="1">
        <v>406443.72194471839</v>
      </c>
      <c r="O20" s="1">
        <v>6896837.3896369692</v>
      </c>
    </row>
    <row r="21" spans="1:15">
      <c r="A21" s="3">
        <v>44774</v>
      </c>
      <c r="B21" s="1">
        <v>978898.22877015406</v>
      </c>
      <c r="C21" s="1">
        <v>48944.911438507697</v>
      </c>
      <c r="D21" s="1">
        <v>636283.84870060021</v>
      </c>
      <c r="E21" s="1">
        <v>244724.55719253849</v>
      </c>
      <c r="F21" s="1">
        <v>48944.911438507697</v>
      </c>
      <c r="G21" s="2">
        <v>150000</v>
      </c>
      <c r="H21" s="2">
        <v>5000</v>
      </c>
      <c r="I21" s="2">
        <v>1500</v>
      </c>
      <c r="J21" s="2">
        <v>500</v>
      </c>
      <c r="K21" s="1">
        <v>293669.46863104618</v>
      </c>
      <c r="L21" s="1">
        <v>146834.73431552309</v>
      </c>
      <c r="M21" s="1">
        <v>597504.2029465693</v>
      </c>
      <c r="N21" s="1">
        <v>381394.02582358482</v>
      </c>
      <c r="O21" s="1">
        <v>7278231.415460554</v>
      </c>
    </row>
    <row r="22" spans="1:15">
      <c r="A22" s="3">
        <v>44805</v>
      </c>
      <c r="B22" s="1">
        <v>933733.92479890271</v>
      </c>
      <c r="C22" s="1">
        <v>46686.696239945137</v>
      </c>
      <c r="D22" s="1">
        <v>606927.0511192868</v>
      </c>
      <c r="E22" s="1">
        <v>233433.48119972571</v>
      </c>
      <c r="F22" s="1">
        <v>46686.696239945137</v>
      </c>
      <c r="G22" s="2">
        <v>150000</v>
      </c>
      <c r="H22" s="2">
        <v>5000</v>
      </c>
      <c r="I22" s="2">
        <v>1500</v>
      </c>
      <c r="J22" s="2">
        <v>500</v>
      </c>
      <c r="K22" s="1">
        <v>280120.17743967078</v>
      </c>
      <c r="L22" s="1">
        <v>140060.08871983539</v>
      </c>
      <c r="M22" s="1">
        <v>577180.26615950617</v>
      </c>
      <c r="N22" s="1">
        <v>356553.65863939648</v>
      </c>
      <c r="O22" s="1">
        <v>7634785.0740999496</v>
      </c>
    </row>
    <row r="23" spans="1:15">
      <c r="A23" s="3">
        <v>44835</v>
      </c>
      <c r="B23" s="1">
        <v>888950.2188948252</v>
      </c>
      <c r="C23" s="1">
        <v>44447.510944741261</v>
      </c>
      <c r="D23" s="1">
        <v>577817.64228163636</v>
      </c>
      <c r="E23" s="1">
        <v>222237.5547237063</v>
      </c>
      <c r="F23" s="1">
        <v>44447.510944741261</v>
      </c>
      <c r="G23" s="2">
        <v>150000</v>
      </c>
      <c r="H23" s="2">
        <v>5000</v>
      </c>
      <c r="I23" s="2">
        <v>1500</v>
      </c>
      <c r="J23" s="2">
        <v>500</v>
      </c>
      <c r="K23" s="1">
        <v>266685.06566844753</v>
      </c>
      <c r="L23" s="1">
        <v>133342.53283422379</v>
      </c>
      <c r="M23" s="1">
        <v>557027.59850267135</v>
      </c>
      <c r="N23" s="1">
        <v>331922.62039215391</v>
      </c>
      <c r="O23" s="1">
        <v>7966707.6944921045</v>
      </c>
    </row>
    <row r="24" spans="1:15">
      <c r="A24" s="3">
        <v>44866</v>
      </c>
      <c r="B24" s="1">
        <v>804330.58195992443</v>
      </c>
      <c r="C24" s="1">
        <v>40216.529097996223</v>
      </c>
      <c r="D24" s="1">
        <v>522814.87827395089</v>
      </c>
      <c r="E24" s="1">
        <v>201082.64548998111</v>
      </c>
      <c r="F24" s="1">
        <v>40216.529097996223</v>
      </c>
      <c r="G24" s="2">
        <v>150000</v>
      </c>
      <c r="H24" s="2">
        <v>5000</v>
      </c>
      <c r="I24" s="2">
        <v>1500</v>
      </c>
      <c r="J24" s="2">
        <v>500</v>
      </c>
      <c r="K24" s="1">
        <v>241299.17458797729</v>
      </c>
      <c r="L24" s="1">
        <v>120649.5872939887</v>
      </c>
      <c r="M24" s="1">
        <v>518948.76188196603</v>
      </c>
      <c r="N24" s="1">
        <v>285381.8200779584</v>
      </c>
      <c r="O24" s="1">
        <v>8252089.514570063</v>
      </c>
    </row>
    <row r="25" spans="1:15">
      <c r="A25" s="3">
        <v>44896</v>
      </c>
      <c r="B25" s="1">
        <v>720472.14115937089</v>
      </c>
      <c r="C25" s="1">
        <v>36023.607057968547</v>
      </c>
      <c r="D25" s="1">
        <v>468306.89175359107</v>
      </c>
      <c r="E25" s="1">
        <v>180118.03528984269</v>
      </c>
      <c r="F25" s="1">
        <v>36023.607057968547</v>
      </c>
      <c r="G25" s="2">
        <v>150000</v>
      </c>
      <c r="H25" s="2">
        <v>5000</v>
      </c>
      <c r="I25" s="2">
        <v>1500</v>
      </c>
      <c r="J25" s="2">
        <v>500</v>
      </c>
      <c r="K25" s="1">
        <v>216141.64234781131</v>
      </c>
      <c r="L25" s="1">
        <v>108070.8211739056</v>
      </c>
      <c r="M25" s="1">
        <v>481212.46352171688</v>
      </c>
      <c r="N25" s="1">
        <v>239259.67763765401</v>
      </c>
      <c r="O25" s="1">
        <v>8491349.1922077164</v>
      </c>
    </row>
    <row r="26" spans="1:15">
      <c r="A26" s="3">
        <v>44927</v>
      </c>
      <c r="B26" s="1">
        <v>796718.6206164551</v>
      </c>
      <c r="C26" s="1">
        <v>39835.931030822758</v>
      </c>
      <c r="D26" s="1">
        <v>517867.10340069578</v>
      </c>
      <c r="E26" s="1">
        <v>199179.6551541138</v>
      </c>
      <c r="F26" s="1">
        <v>39835.931030822758</v>
      </c>
      <c r="G26" s="2">
        <v>150000</v>
      </c>
      <c r="H26" s="2">
        <v>5000</v>
      </c>
      <c r="I26" s="2">
        <v>1500</v>
      </c>
      <c r="J26" s="2">
        <v>500</v>
      </c>
      <c r="K26" s="1">
        <v>239015.58618493649</v>
      </c>
      <c r="L26" s="1">
        <v>119507.7930924683</v>
      </c>
      <c r="M26" s="1">
        <v>515523.37927740469</v>
      </c>
      <c r="N26" s="1">
        <v>281195.24133905029</v>
      </c>
      <c r="O26" s="1">
        <v>8772544.4335467666</v>
      </c>
    </row>
    <row r="27" spans="1:15">
      <c r="A27" s="3">
        <v>44958</v>
      </c>
      <c r="B27" s="1">
        <v>753267.00794748438</v>
      </c>
      <c r="C27" s="1">
        <v>37663.350397374219</v>
      </c>
      <c r="D27" s="1">
        <v>489623.55516586488</v>
      </c>
      <c r="E27" s="1">
        <v>188316.7519868711</v>
      </c>
      <c r="F27" s="1">
        <v>37663.350397374219</v>
      </c>
      <c r="G27" s="2">
        <v>150000</v>
      </c>
      <c r="H27" s="2">
        <v>5000</v>
      </c>
      <c r="I27" s="2">
        <v>1500</v>
      </c>
      <c r="J27" s="2">
        <v>500</v>
      </c>
      <c r="K27" s="1">
        <v>225980.10238424531</v>
      </c>
      <c r="L27" s="1">
        <v>112990.0511921227</v>
      </c>
      <c r="M27" s="1">
        <v>495970.153576368</v>
      </c>
      <c r="N27" s="1">
        <v>257296.85437111641</v>
      </c>
      <c r="O27" s="1">
        <v>9029841.2879178822</v>
      </c>
    </row>
    <row r="28" spans="1:15">
      <c r="A28" s="3">
        <v>44986</v>
      </c>
      <c r="B28" s="1">
        <v>828561.99223663518</v>
      </c>
      <c r="C28" s="1">
        <v>41428.099611831763</v>
      </c>
      <c r="D28" s="1">
        <v>538565.29495381285</v>
      </c>
      <c r="E28" s="1">
        <v>207140.4980591588</v>
      </c>
      <c r="F28" s="1">
        <v>41428.099611831763</v>
      </c>
      <c r="G28" s="2">
        <v>150000</v>
      </c>
      <c r="H28" s="2">
        <v>5000</v>
      </c>
      <c r="I28" s="2">
        <v>1500</v>
      </c>
      <c r="J28" s="2">
        <v>500</v>
      </c>
      <c r="K28" s="1">
        <v>248568.59767099051</v>
      </c>
      <c r="L28" s="1">
        <v>124284.2988354953</v>
      </c>
      <c r="M28" s="1">
        <v>529852.89650648576</v>
      </c>
      <c r="N28" s="1">
        <v>298709.09573014942</v>
      </c>
      <c r="O28" s="1">
        <v>9328550.3836480323</v>
      </c>
    </row>
    <row r="29" spans="1:15">
      <c r="A29" s="3">
        <v>45017</v>
      </c>
      <c r="B29" s="1">
        <v>863830.74646137643</v>
      </c>
      <c r="C29" s="1">
        <v>43191.537323068827</v>
      </c>
      <c r="D29" s="1">
        <v>561489.98519989476</v>
      </c>
      <c r="E29" s="1">
        <v>215957.68661534411</v>
      </c>
      <c r="F29" s="1">
        <v>43191.537323068827</v>
      </c>
      <c r="G29" s="2">
        <v>150000</v>
      </c>
      <c r="H29" s="2">
        <v>5000</v>
      </c>
      <c r="I29" s="2">
        <v>1500</v>
      </c>
      <c r="J29" s="2">
        <v>500</v>
      </c>
      <c r="K29" s="1">
        <v>259149.22393841291</v>
      </c>
      <c r="L29" s="1">
        <v>129574.6119692065</v>
      </c>
      <c r="M29" s="1">
        <v>545723.83590761933</v>
      </c>
      <c r="N29" s="1">
        <v>318106.9105537571</v>
      </c>
      <c r="O29" s="1">
        <v>9646657.2942017894</v>
      </c>
    </row>
    <row r="30" spans="1:15">
      <c r="A30" s="3">
        <v>45047</v>
      </c>
      <c r="B30" s="1">
        <v>937793.63751541974</v>
      </c>
      <c r="C30" s="1">
        <v>46889.681875770992</v>
      </c>
      <c r="D30" s="1">
        <v>609565.8643850229</v>
      </c>
      <c r="E30" s="1">
        <v>234448.40937885491</v>
      </c>
      <c r="F30" s="1">
        <v>46889.681875770992</v>
      </c>
      <c r="G30" s="2">
        <v>150000</v>
      </c>
      <c r="H30" s="2">
        <v>5000</v>
      </c>
      <c r="I30" s="2">
        <v>1500</v>
      </c>
      <c r="J30" s="2">
        <v>500</v>
      </c>
      <c r="K30" s="1">
        <v>281338.09125462588</v>
      </c>
      <c r="L30" s="1">
        <v>140669.045627313</v>
      </c>
      <c r="M30" s="1">
        <v>579007.1368819389</v>
      </c>
      <c r="N30" s="1">
        <v>358786.50063348078</v>
      </c>
      <c r="O30" s="1">
        <v>10005443.794835269</v>
      </c>
    </row>
    <row r="31" spans="1:15">
      <c r="A31" s="3">
        <v>45078</v>
      </c>
      <c r="B31" s="1">
        <v>1010995.332435117</v>
      </c>
      <c r="C31" s="1">
        <v>50549.766621755829</v>
      </c>
      <c r="D31" s="1">
        <v>657146.96608282579</v>
      </c>
      <c r="E31" s="1">
        <v>252748.8331087791</v>
      </c>
      <c r="F31" s="1">
        <v>50549.766621755829</v>
      </c>
      <c r="G31" s="2">
        <v>150000</v>
      </c>
      <c r="H31" s="2">
        <v>5000</v>
      </c>
      <c r="I31" s="2">
        <v>1500</v>
      </c>
      <c r="J31" s="2">
        <v>500</v>
      </c>
      <c r="K31" s="1">
        <v>303298.59973053489</v>
      </c>
      <c r="L31" s="1">
        <v>151649.2998652675</v>
      </c>
      <c r="M31" s="1">
        <v>611947.89959580242</v>
      </c>
      <c r="N31" s="1">
        <v>399047.4328393141</v>
      </c>
      <c r="O31" s="1">
        <v>10404491.227674579</v>
      </c>
    </row>
    <row r="32" spans="1:15">
      <c r="A32" s="3">
        <v>45108</v>
      </c>
      <c r="B32" s="1">
        <v>967353.42073255905</v>
      </c>
      <c r="C32" s="1">
        <v>48367.671036627959</v>
      </c>
      <c r="D32" s="1">
        <v>628779.72347616346</v>
      </c>
      <c r="E32" s="1">
        <v>241838.35518313979</v>
      </c>
      <c r="F32" s="1">
        <v>48367.671036627959</v>
      </c>
      <c r="G32" s="2">
        <v>150000</v>
      </c>
      <c r="H32" s="2">
        <v>5000</v>
      </c>
      <c r="I32" s="2">
        <v>1500</v>
      </c>
      <c r="J32" s="2">
        <v>500</v>
      </c>
      <c r="K32" s="1">
        <v>290206.02621976769</v>
      </c>
      <c r="L32" s="1">
        <v>145103.01310988379</v>
      </c>
      <c r="M32" s="1">
        <v>592309.03932965151</v>
      </c>
      <c r="N32" s="1">
        <v>375044.38140290749</v>
      </c>
      <c r="O32" s="1">
        <v>10779535.609077491</v>
      </c>
    </row>
    <row r="33" spans="1:15">
      <c r="A33" s="3">
        <v>45139</v>
      </c>
      <c r="B33" s="1">
        <v>924092.10709717497</v>
      </c>
      <c r="C33" s="1">
        <v>46204.605354858752</v>
      </c>
      <c r="D33" s="1">
        <v>600659.86961316376</v>
      </c>
      <c r="E33" s="1">
        <v>231023.02677429371</v>
      </c>
      <c r="F33" s="1">
        <v>46204.605354858752</v>
      </c>
      <c r="G33" s="2">
        <v>150000</v>
      </c>
      <c r="H33" s="2">
        <v>5000</v>
      </c>
      <c r="I33" s="2">
        <v>1500</v>
      </c>
      <c r="J33" s="2">
        <v>500</v>
      </c>
      <c r="K33" s="1">
        <v>277227.63212915248</v>
      </c>
      <c r="L33" s="1">
        <v>138613.81606457621</v>
      </c>
      <c r="M33" s="1">
        <v>572841.44819372869</v>
      </c>
      <c r="N33" s="1">
        <v>351250.65890344628</v>
      </c>
      <c r="O33" s="1">
        <v>11130786.267980941</v>
      </c>
    </row>
    <row r="34" spans="1:15">
      <c r="A34" s="3">
        <v>45170</v>
      </c>
      <c r="B34" s="1">
        <v>881211.39152896451</v>
      </c>
      <c r="C34" s="1">
        <v>44060.56957644823</v>
      </c>
      <c r="D34" s="1">
        <v>572787.40449382691</v>
      </c>
      <c r="E34" s="1">
        <v>220302.8478822411</v>
      </c>
      <c r="F34" s="1">
        <v>44060.56957644823</v>
      </c>
      <c r="G34" s="2">
        <v>150000</v>
      </c>
      <c r="H34" s="2">
        <v>5000</v>
      </c>
      <c r="I34" s="2">
        <v>1500</v>
      </c>
      <c r="J34" s="2">
        <v>500</v>
      </c>
      <c r="K34" s="1">
        <v>264363.41745868942</v>
      </c>
      <c r="L34" s="1">
        <v>132181.70872934471</v>
      </c>
      <c r="M34" s="1">
        <v>553545.12618803408</v>
      </c>
      <c r="N34" s="1">
        <v>327666.26534093037</v>
      </c>
      <c r="O34" s="1">
        <v>11458452.53332187</v>
      </c>
    </row>
    <row r="35" spans="1:15">
      <c r="A35" s="3">
        <v>45200</v>
      </c>
      <c r="B35" s="1">
        <v>838711.27402792766</v>
      </c>
      <c r="C35" s="1">
        <v>41935.563701396393</v>
      </c>
      <c r="D35" s="1">
        <v>545162.32811815303</v>
      </c>
      <c r="E35" s="1">
        <v>209677.81850698189</v>
      </c>
      <c r="F35" s="1">
        <v>41935.563701396393</v>
      </c>
      <c r="G35" s="2">
        <v>150000</v>
      </c>
      <c r="H35" s="2">
        <v>5000</v>
      </c>
      <c r="I35" s="2">
        <v>1500</v>
      </c>
      <c r="J35" s="2">
        <v>500</v>
      </c>
      <c r="K35" s="1">
        <v>251613.38220837829</v>
      </c>
      <c r="L35" s="1">
        <v>125806.6911041891</v>
      </c>
      <c r="M35" s="1">
        <v>534420.07331256743</v>
      </c>
      <c r="N35" s="1">
        <v>304291.20071536017</v>
      </c>
      <c r="O35" s="1">
        <v>11762743.73403723</v>
      </c>
    </row>
    <row r="36" spans="1:15">
      <c r="A36" s="3">
        <v>45231</v>
      </c>
      <c r="B36" s="1">
        <v>758658.81389910856</v>
      </c>
      <c r="C36" s="1">
        <v>37932.940694955432</v>
      </c>
      <c r="D36" s="1">
        <v>493128.22903442063</v>
      </c>
      <c r="E36" s="1">
        <v>189664.70347477711</v>
      </c>
      <c r="F36" s="1">
        <v>37932.940694955432</v>
      </c>
      <c r="G36" s="2">
        <v>150000</v>
      </c>
      <c r="H36" s="2">
        <v>5000</v>
      </c>
      <c r="I36" s="2">
        <v>1500</v>
      </c>
      <c r="J36" s="2">
        <v>500</v>
      </c>
      <c r="K36" s="1">
        <v>227597.64416973249</v>
      </c>
      <c r="L36" s="1">
        <v>113798.8220848663</v>
      </c>
      <c r="M36" s="1">
        <v>498396.46625459893</v>
      </c>
      <c r="N36" s="1">
        <v>260262.34764450969</v>
      </c>
      <c r="O36" s="1">
        <v>12023006.08168174</v>
      </c>
    </row>
    <row r="37" spans="1:15">
      <c r="A37" s="3">
        <v>45261</v>
      </c>
      <c r="B37" s="1">
        <v>679367.54990463646</v>
      </c>
      <c r="C37" s="1">
        <v>33968.377495231827</v>
      </c>
      <c r="D37" s="1">
        <v>441588.9074380137</v>
      </c>
      <c r="E37" s="1">
        <v>169841.88747615911</v>
      </c>
      <c r="F37" s="1">
        <v>33968.377495231827</v>
      </c>
      <c r="G37" s="2">
        <v>150000</v>
      </c>
      <c r="H37" s="2">
        <v>5000</v>
      </c>
      <c r="I37" s="2">
        <v>1500</v>
      </c>
      <c r="J37" s="2">
        <v>500</v>
      </c>
      <c r="K37" s="1">
        <v>203810.26497139089</v>
      </c>
      <c r="L37" s="1">
        <v>101905.1324856955</v>
      </c>
      <c r="M37" s="1">
        <v>462715.39745708642</v>
      </c>
      <c r="N37" s="1">
        <v>216652.15244755</v>
      </c>
      <c r="O37" s="1">
        <v>12239658.234129289</v>
      </c>
    </row>
  </sheetData>
  <pageMargins left="0.7" right="0.7" top="0.75" bottom="0.75" header="0.3" footer="0.3"/>
  <headerFooter>
    <oddHeader>&amp;R&amp;"Calibri"&amp;10&amp;K000000 #interna&amp;1#_x000D_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3E6C2-7F54-4C2D-BF5A-E820C9E2C910}">
  <dimension ref="A1:K4"/>
  <sheetViews>
    <sheetView tabSelected="1" workbookViewId="0">
      <selection activeCell="D12" sqref="D12"/>
    </sheetView>
  </sheetViews>
  <sheetFormatPr defaultRowHeight="14.45"/>
  <cols>
    <col min="2" max="2" width="72.140625" customWidth="1"/>
    <col min="3" max="3" width="13.28515625" bestFit="1" customWidth="1"/>
    <col min="4" max="4" width="14.42578125" bestFit="1" customWidth="1"/>
    <col min="5" max="5" width="14.85546875" bestFit="1" customWidth="1"/>
    <col min="6" max="6" width="13.28515625" bestFit="1" customWidth="1"/>
    <col min="7" max="7" width="14.42578125" bestFit="1" customWidth="1"/>
    <col min="8" max="8" width="14.85546875" bestFit="1" customWidth="1"/>
    <col min="9" max="9" width="13.28515625" bestFit="1" customWidth="1"/>
    <col min="10" max="10" width="14.42578125" bestFit="1" customWidth="1"/>
    <col min="11" max="11" width="14.85546875" bestFit="1" customWidth="1"/>
  </cols>
  <sheetData>
    <row r="1" spans="1:11"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 spans="1:11">
      <c r="A2" t="s">
        <v>24</v>
      </c>
      <c r="C2" s="1">
        <f>SUM('Empresa 1 - Serviços'!$B$2:$B$13)</f>
        <v>2980296.1030180804</v>
      </c>
      <c r="D2" s="1">
        <f>SUM('Empresa 1 - Serviços'!$M$2:$M$13)</f>
        <v>2505133.2463581362</v>
      </c>
      <c r="E2" s="1">
        <f>C2-D2</f>
        <v>475162.85665994417</v>
      </c>
      <c r="F2" s="1">
        <f>SUM('Empresa 1 - Serviços'!$B$14:$B$25)</f>
        <v>3178436.2900941386</v>
      </c>
      <c r="G2" s="1">
        <f>SUM('Empresa 1 - Serviços'!$M$14:$M$25)</f>
        <v>2594296.3305423623</v>
      </c>
      <c r="H2" s="1">
        <f>F2-G2</f>
        <v>584139.95955177629</v>
      </c>
      <c r="I2" s="1">
        <f>SUM('Empresa 1 - Serviços'!$B$26:$B$37)</f>
        <v>3376576.4771701973</v>
      </c>
      <c r="J2" s="1">
        <f>SUM('Empresa 1 - Serviços'!$M$26:$M$37)</f>
        <v>2683459.4147265889</v>
      </c>
      <c r="K2" s="1">
        <f>I2-J2</f>
        <v>693117.06244360842</v>
      </c>
    </row>
    <row r="3" spans="1:11">
      <c r="A3" t="s">
        <v>25</v>
      </c>
      <c r="C3" s="1">
        <f>SUM('Empresa 2 - Comércio'!$B$2:$B$13)</f>
        <v>400327.06430506223</v>
      </c>
      <c r="D3" s="1">
        <f>SUM('Empresa 2 - Comércio'!$M$2:$M$13)</f>
        <v>397347.17893727793</v>
      </c>
      <c r="E3" s="1">
        <f t="shared" ref="E3:E4" si="0">C3-D3</f>
        <v>2979.8853677842999</v>
      </c>
      <c r="F3" s="1">
        <f>SUM('Empresa 2 - Comércio'!$B$14:$B$25)</f>
        <v>393410.00372813828</v>
      </c>
      <c r="G3" s="1">
        <f>SUM('Empresa 2 - Comércio'!$M$14:$M$25)</f>
        <v>394234.50167766225</v>
      </c>
      <c r="H3" s="1">
        <f t="shared" ref="H3:H4" si="1">F3-G3</f>
        <v>-824.49794952396769</v>
      </c>
      <c r="I3" s="1">
        <f>SUM('Empresa 2 - Comércio'!$B$26:$B$37)</f>
        <v>386492.94315121428</v>
      </c>
      <c r="J3" s="1">
        <f>SUM('Empresa 2 - Comércio'!$M$26:$M$37)</f>
        <v>391121.82441804645</v>
      </c>
      <c r="K3" s="1">
        <f t="shared" ref="K3:K4" si="2">I3-J3</f>
        <v>-4628.8812668321771</v>
      </c>
    </row>
    <row r="4" spans="1:11">
      <c r="A4" t="s">
        <v>26</v>
      </c>
      <c r="C4" s="1">
        <f>SUM('Empresa 3 - Indústria'!$B$2:$B$13)</f>
        <v>11446296.571208399</v>
      </c>
      <c r="D4" s="1">
        <f>SUM('Empresa 3 - Indústria'!$M$2:$M$13)</f>
        <v>7034833.45704378</v>
      </c>
      <c r="E4" s="1">
        <f t="shared" si="0"/>
        <v>4411463.1141646188</v>
      </c>
      <c r="F4" s="1">
        <f>SUM('Empresa 3 - Indústria'!$B$14:$B$25)</f>
        <v>10843429.232805625</v>
      </c>
      <c r="G4" s="1">
        <f>SUM('Empresa 3 - Indústria'!$M$14:$M$25)</f>
        <v>6763543.1547625335</v>
      </c>
      <c r="H4" s="1">
        <f t="shared" si="1"/>
        <v>4079886.0780430911</v>
      </c>
      <c r="I4" s="1">
        <f>SUM('Empresa 3 - Indústria'!$B$26:$B$37)</f>
        <v>10240561.89440286</v>
      </c>
      <c r="J4" s="1">
        <f>SUM('Empresa 3 - Indústria'!$M$26:$M$37)</f>
        <v>6492252.8524812879</v>
      </c>
      <c r="K4" s="1">
        <f t="shared" si="2"/>
        <v>3748309.0419215718</v>
      </c>
    </row>
  </sheetData>
  <phoneticPr fontId="2" type="noConversion"/>
  <pageMargins left="0.511811024" right="0.511811024" top="0.78740157499999996" bottom="0.78740157499999996" header="0.31496062000000002" footer="0.31496062000000002"/>
  <headerFooter>
    <oddHeader>&amp;R&amp;"Calibri"&amp;10&amp;K000000 #interna&amp;1#_x000D_</oddHeader>
  </headerFooter>
</worksheet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de Albuquerque Santos</dc:creator>
  <cp:keywords/>
  <dc:description/>
  <cp:lastModifiedBy>Rogerio Henriques Silva</cp:lastModifiedBy>
  <cp:revision/>
  <dcterms:created xsi:type="dcterms:W3CDTF">2025-07-24T13:15:56Z</dcterms:created>
  <dcterms:modified xsi:type="dcterms:W3CDTF">2025-07-28T14:57:19Z</dcterms:modified>
  <cp:category/>
  <cp:contentStatus/>
</cp:coreProperties>
</file>